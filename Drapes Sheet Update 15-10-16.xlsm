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Taha\OneDrive\Galaxy Designs\"/>
    </mc:Choice>
  </mc:AlternateContent>
  <bookViews>
    <workbookView xWindow="165" yWindow="645" windowWidth="20730" windowHeight="11760" tabRatio="556" activeTab="2"/>
  </bookViews>
  <sheets>
    <sheet name="Main" sheetId="1" r:id="rId1"/>
    <sheet name="Rod,Crown" sheetId="3" r:id="rId2"/>
    <sheet name="Scroll" sheetId="4" r:id="rId3"/>
    <sheet name="Flat,Cubical,Grommet,Ripple" sheetId="5" r:id="rId4"/>
    <sheet name="French,2,3 Pleat" sheetId="6" r:id="rId5"/>
    <sheet name="ResourcesForm" sheetId="2" r:id="rId6"/>
  </sheets>
  <definedNames>
    <definedName name="_xlnm.Print_Area" localSheetId="4">'French,2,3 Pleat'!$A$1:$AU$4</definedName>
    <definedName name="_xlnm.Print_Area" localSheetId="2">Scroll!$B$1:$AQ$1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E51" i="1" l="1"/>
  <c r="AF51" i="1"/>
  <c r="AH51" i="1"/>
  <c r="AW51" i="1"/>
  <c r="AV51" i="1"/>
  <c r="AM51" i="1"/>
  <c r="AJ51" i="1"/>
  <c r="AN51" i="1"/>
  <c r="AS51" i="1"/>
  <c r="AU51" i="1"/>
  <c r="AI51" i="1"/>
  <c r="AR51" i="1"/>
  <c r="AT51" i="1"/>
  <c r="AL51" i="1"/>
  <c r="AF50" i="1"/>
  <c r="AH50" i="1"/>
  <c r="AE50" i="1"/>
  <c r="BC50" i="1"/>
  <c r="AW50" i="1"/>
  <c r="AV50" i="1"/>
  <c r="AJ50" i="1"/>
  <c r="AS50" i="1"/>
  <c r="AU50" i="1"/>
  <c r="AR50" i="1"/>
  <c r="AT50" i="1"/>
  <c r="Z50" i="1"/>
  <c r="AM50" i="1"/>
  <c r="AL50" i="1"/>
  <c r="AV49" i="1"/>
  <c r="AJ49" i="1"/>
  <c r="AF49" i="1"/>
  <c r="AS49" i="1"/>
  <c r="AU49" i="1"/>
  <c r="AR49" i="1"/>
  <c r="AT49" i="1"/>
  <c r="Z49" i="1"/>
  <c r="AM49" i="1"/>
  <c r="AL49" i="1"/>
  <c r="AF48" i="1"/>
  <c r="AH48" i="1"/>
  <c r="AE48" i="1"/>
  <c r="AV48" i="1"/>
  <c r="AJ48" i="1"/>
  <c r="AS48" i="1"/>
  <c r="AU48" i="1"/>
  <c r="AR48" i="1"/>
  <c r="AT48" i="1"/>
  <c r="Z48" i="1"/>
  <c r="AM48" i="1"/>
  <c r="AL48" i="1"/>
  <c r="AF47" i="1"/>
  <c r="AH47" i="1"/>
  <c r="AE47" i="1"/>
  <c r="AV47" i="1"/>
  <c r="AJ47" i="1"/>
  <c r="AS47" i="1"/>
  <c r="AU47" i="1"/>
  <c r="AR47" i="1"/>
  <c r="AT47" i="1"/>
  <c r="Z47" i="1"/>
  <c r="AM47" i="1"/>
  <c r="AL47" i="1"/>
  <c r="AF46" i="1"/>
  <c r="AH46" i="1"/>
  <c r="AE46" i="1"/>
  <c r="AV46" i="1"/>
  <c r="AJ46" i="1"/>
  <c r="AS46" i="1"/>
  <c r="AU46" i="1"/>
  <c r="AR46" i="1"/>
  <c r="AT46" i="1"/>
  <c r="Z46" i="1"/>
  <c r="AM46" i="1"/>
  <c r="AL46" i="1"/>
  <c r="AE11" i="1"/>
  <c r="AF11" i="1"/>
  <c r="AH11" i="1"/>
  <c r="AI11" i="1"/>
  <c r="BC12" i="1"/>
  <c r="BC11" i="1"/>
  <c r="AF45" i="1"/>
  <c r="AH45" i="1"/>
  <c r="AE45" i="1"/>
  <c r="AW45" i="1"/>
  <c r="AV45" i="1"/>
  <c r="AJ45" i="1"/>
  <c r="AS45" i="1"/>
  <c r="AU45" i="1"/>
  <c r="AR45" i="1"/>
  <c r="AT45" i="1"/>
  <c r="Z45" i="1"/>
  <c r="AM45" i="1"/>
  <c r="AL45" i="1"/>
  <c r="AF44" i="1"/>
  <c r="AH44" i="1"/>
  <c r="AE44" i="1"/>
  <c r="AW44" i="1"/>
  <c r="AV44" i="1"/>
  <c r="AJ44" i="1"/>
  <c r="AS44" i="1"/>
  <c r="AU44" i="1"/>
  <c r="AR44" i="1"/>
  <c r="AT44" i="1"/>
  <c r="Z44" i="1"/>
  <c r="AM44" i="1"/>
  <c r="AL44" i="1"/>
  <c r="AF43" i="1"/>
  <c r="AH43" i="1"/>
  <c r="AE43" i="1"/>
  <c r="AW43" i="1"/>
  <c r="AV43" i="1"/>
  <c r="AN43" i="1"/>
  <c r="AS43" i="1"/>
  <c r="AU43" i="1"/>
  <c r="AI43" i="1"/>
  <c r="AR43" i="1"/>
  <c r="AT43" i="1"/>
  <c r="AM43" i="1"/>
  <c r="AL43" i="1"/>
  <c r="AF42" i="1"/>
  <c r="AH42" i="1"/>
  <c r="AE42" i="1"/>
  <c r="AW42" i="1"/>
  <c r="AV42" i="1"/>
  <c r="AI42" i="1"/>
  <c r="AR42" i="1"/>
  <c r="AT42" i="1"/>
  <c r="AF41" i="1"/>
  <c r="AH41" i="1"/>
  <c r="AE41" i="1"/>
  <c r="AW41" i="1"/>
  <c r="AV41" i="1"/>
  <c r="AR41" i="1"/>
  <c r="AT41" i="1"/>
  <c r="Z41" i="1"/>
  <c r="AF40" i="1"/>
  <c r="AH40" i="1"/>
  <c r="AE40" i="1"/>
  <c r="AW40" i="1"/>
  <c r="AV40" i="1"/>
  <c r="AR40" i="1"/>
  <c r="AT40" i="1"/>
  <c r="Z40" i="1"/>
  <c r="AF39" i="1"/>
  <c r="AH39" i="1"/>
  <c r="AE39" i="1"/>
  <c r="AW39" i="1"/>
  <c r="AV39" i="1"/>
  <c r="AS39" i="1"/>
  <c r="AU39" i="1"/>
  <c r="AR39" i="1"/>
  <c r="AT39" i="1"/>
  <c r="Z39" i="1"/>
  <c r="AM39" i="1"/>
  <c r="AL39" i="1"/>
  <c r="AF38" i="1"/>
  <c r="AH38" i="1"/>
  <c r="AE38" i="1"/>
  <c r="AW38" i="1"/>
  <c r="AV38" i="1"/>
  <c r="AI38" i="1"/>
  <c r="AR38" i="1"/>
  <c r="AT38" i="1"/>
  <c r="AF37" i="1"/>
  <c r="AH37" i="1"/>
  <c r="AE37" i="1"/>
  <c r="AW37" i="1"/>
  <c r="AV37" i="1"/>
  <c r="AI37" i="1"/>
  <c r="AR37" i="1"/>
  <c r="AT37" i="1"/>
  <c r="AF36" i="1"/>
  <c r="AH36" i="1"/>
  <c r="AE36" i="1"/>
  <c r="AW36" i="1"/>
  <c r="AV36" i="1"/>
  <c r="AI36" i="1"/>
  <c r="AR36" i="1"/>
  <c r="AT36" i="1"/>
  <c r="AF26" i="1"/>
  <c r="AI26" i="1"/>
  <c r="AH26" i="1"/>
  <c r="AE26" i="1"/>
  <c r="AW26" i="1"/>
  <c r="AV26" i="1"/>
  <c r="AR26" i="1"/>
  <c r="AT26" i="1"/>
  <c r="AR25" i="1"/>
  <c r="AE25" i="1"/>
  <c r="AF25" i="1"/>
  <c r="AI25" i="1"/>
  <c r="AT25" i="1"/>
  <c r="AH25" i="1"/>
  <c r="AW25" i="1"/>
  <c r="AV25" i="1"/>
  <c r="AM25" i="1"/>
  <c r="AJ25" i="1"/>
  <c r="AN25" i="1"/>
  <c r="AS25" i="1"/>
  <c r="AU25" i="1"/>
  <c r="AL25" i="1"/>
  <c r="AE24" i="1"/>
  <c r="AF24" i="1"/>
  <c r="AI24" i="1"/>
  <c r="AH24" i="1"/>
  <c r="AW24" i="1"/>
  <c r="AV24" i="1"/>
  <c r="AM24" i="1"/>
  <c r="AJ24" i="1"/>
  <c r="AN24" i="1"/>
  <c r="AS24" i="1"/>
  <c r="AU24" i="1"/>
  <c r="AR24" i="1"/>
  <c r="AT24" i="1"/>
  <c r="AL24" i="1"/>
  <c r="AF23" i="1"/>
  <c r="AI23" i="1"/>
  <c r="AH23" i="1"/>
  <c r="AE23" i="1"/>
  <c r="AW23" i="1"/>
  <c r="AV23" i="1"/>
  <c r="AJ23" i="1"/>
  <c r="AN23" i="1"/>
  <c r="AS23" i="1"/>
  <c r="AU23" i="1"/>
  <c r="AR23" i="1"/>
  <c r="AT23" i="1"/>
  <c r="AM23" i="1"/>
  <c r="AL23" i="1"/>
  <c r="AJ22" i="1"/>
  <c r="AN22" i="1"/>
  <c r="AF22" i="1"/>
  <c r="AI22" i="1"/>
  <c r="AE19" i="1"/>
  <c r="AF19" i="1"/>
  <c r="AH19" i="1"/>
  <c r="AI19" i="1"/>
  <c r="AH22" i="1"/>
  <c r="AE22" i="1"/>
  <c r="AW22" i="1"/>
  <c r="AV22" i="1"/>
  <c r="AL22" i="1"/>
  <c r="AS22" i="1"/>
  <c r="AU22" i="1"/>
  <c r="AR22" i="1"/>
  <c r="AM22" i="1"/>
  <c r="AE21" i="1"/>
  <c r="AF21" i="1"/>
  <c r="AH21" i="1"/>
  <c r="AI21" i="1"/>
  <c r="AW21" i="1"/>
  <c r="AV21" i="1"/>
  <c r="AM21" i="1"/>
  <c r="AJ21" i="1"/>
  <c r="AL21" i="1"/>
  <c r="AN21" i="1"/>
  <c r="AS21" i="1"/>
  <c r="AU21" i="1"/>
  <c r="AR21" i="1"/>
  <c r="AT21" i="1"/>
  <c r="AE20" i="1"/>
  <c r="AF20" i="1"/>
  <c r="AH20" i="1"/>
  <c r="AI20" i="1"/>
  <c r="AW20" i="1"/>
  <c r="AV20" i="1"/>
  <c r="AM20" i="1"/>
  <c r="AJ20" i="1"/>
  <c r="AL20" i="1"/>
  <c r="AN20" i="1"/>
  <c r="AS20" i="1"/>
  <c r="AU20" i="1"/>
  <c r="AR20" i="1"/>
  <c r="AT20" i="1"/>
  <c r="Z20" i="1"/>
  <c r="AM2" i="1"/>
  <c r="AJ2" i="1"/>
  <c r="AM3" i="1"/>
  <c r="AJ3" i="1"/>
  <c r="AL3" i="1"/>
  <c r="AN3" i="1"/>
  <c r="AE3" i="1"/>
  <c r="AF3" i="1"/>
  <c r="AW19" i="1"/>
  <c r="AV19" i="1"/>
  <c r="AR19" i="1"/>
  <c r="AT19" i="1"/>
  <c r="AE18" i="1"/>
  <c r="AF18" i="1"/>
  <c r="AH18" i="1"/>
  <c r="AI18" i="1"/>
  <c r="AW18" i="1"/>
  <c r="AV18" i="1"/>
  <c r="AR18" i="1"/>
  <c r="AT18" i="1"/>
  <c r="AE17" i="1"/>
  <c r="AF17" i="1"/>
  <c r="AH17" i="1"/>
  <c r="AI17" i="1"/>
  <c r="AW17" i="1"/>
  <c r="AV17" i="1"/>
  <c r="AR17" i="1"/>
  <c r="AT17" i="1"/>
  <c r="AE16" i="1"/>
  <c r="AF16" i="1"/>
  <c r="AH16" i="1"/>
  <c r="AI16" i="1"/>
  <c r="AW16" i="1"/>
  <c r="AV16" i="1"/>
  <c r="AR16" i="1"/>
  <c r="AT16" i="1"/>
  <c r="AE15" i="1"/>
  <c r="AF15" i="1"/>
  <c r="AH15" i="1"/>
  <c r="AI15" i="1"/>
  <c r="AW15" i="1"/>
  <c r="AV15" i="1"/>
  <c r="AR15" i="1"/>
  <c r="AT15" i="1"/>
  <c r="AE14" i="1"/>
  <c r="AF14" i="1"/>
  <c r="AH14" i="1"/>
  <c r="AI14" i="1"/>
  <c r="AR14" i="1"/>
  <c r="AT14" i="1"/>
  <c r="AW14" i="1"/>
  <c r="AV14" i="1"/>
  <c r="AE13" i="1"/>
  <c r="AF13" i="1"/>
  <c r="AH13" i="1"/>
  <c r="AI13" i="1"/>
  <c r="AW13" i="1"/>
  <c r="AV13" i="1"/>
  <c r="AR13" i="1"/>
  <c r="AT13" i="1"/>
  <c r="AE12" i="1"/>
  <c r="AF12" i="1"/>
  <c r="AH12" i="1"/>
  <c r="AI12" i="1"/>
  <c r="AW12" i="1"/>
  <c r="AV12" i="1"/>
  <c r="AR12" i="1"/>
  <c r="AT12" i="1"/>
  <c r="AW11" i="1"/>
  <c r="AV11" i="1"/>
  <c r="AR11" i="1"/>
  <c r="AT11" i="1"/>
  <c r="AE10" i="1"/>
  <c r="AF10" i="1"/>
  <c r="AH10" i="1"/>
  <c r="AI10" i="1"/>
  <c r="AW10" i="1"/>
  <c r="AV10" i="1"/>
  <c r="AR10" i="1"/>
  <c r="AT10" i="1"/>
  <c r="AE9" i="1"/>
  <c r="AF9" i="1"/>
  <c r="AH9" i="1"/>
  <c r="AI9" i="1"/>
  <c r="AW9" i="1"/>
  <c r="AV9" i="1"/>
  <c r="AM9" i="1"/>
  <c r="AJ9" i="1"/>
  <c r="AL9" i="1"/>
  <c r="AN9" i="1"/>
  <c r="AS9" i="1"/>
  <c r="AU9" i="1"/>
  <c r="AR9" i="1"/>
  <c r="AT9" i="1"/>
  <c r="AE8" i="1"/>
  <c r="AF8" i="1"/>
  <c r="AH8" i="1"/>
  <c r="AI8" i="1"/>
  <c r="AW8" i="1"/>
  <c r="AV8" i="1"/>
  <c r="AR8" i="1"/>
  <c r="AT8" i="1"/>
  <c r="AE7" i="1"/>
  <c r="AF7" i="1"/>
  <c r="AH7" i="1"/>
  <c r="AI7" i="1"/>
  <c r="AW7" i="1"/>
  <c r="AV7" i="1"/>
  <c r="AR7" i="1"/>
  <c r="AT7" i="1"/>
  <c r="AE6" i="1"/>
  <c r="AF6" i="1"/>
  <c r="AH6" i="1"/>
  <c r="AI6" i="1"/>
  <c r="AW6" i="1"/>
  <c r="AV6" i="1"/>
  <c r="AR6" i="1"/>
  <c r="AT6" i="1"/>
  <c r="Z6" i="1"/>
  <c r="AR5" i="1"/>
  <c r="AE5" i="1"/>
  <c r="AF5" i="1"/>
  <c r="AH5" i="1"/>
  <c r="AI5" i="1"/>
  <c r="AW5" i="1"/>
  <c r="AV5" i="1"/>
  <c r="AT5" i="1"/>
  <c r="Z5" i="1"/>
  <c r="AE4" i="1"/>
  <c r="AF4" i="1"/>
  <c r="AH4" i="1"/>
  <c r="AI4" i="1"/>
  <c r="AW4" i="1"/>
  <c r="AV4" i="1"/>
  <c r="AR4" i="1"/>
  <c r="AT4" i="1"/>
  <c r="Z4" i="1"/>
  <c r="AH3" i="1"/>
  <c r="AI3" i="1"/>
  <c r="AW3" i="1"/>
  <c r="AV3" i="1"/>
  <c r="AS3" i="1"/>
  <c r="AU3" i="1"/>
  <c r="AR3" i="1"/>
  <c r="AT3" i="1"/>
  <c r="Z3" i="1"/>
  <c r="AE2" i="1"/>
  <c r="AF2" i="1"/>
  <c r="AH2" i="1"/>
  <c r="AI2" i="1"/>
  <c r="AW2" i="1"/>
  <c r="AV2" i="1"/>
  <c r="AL2" i="1"/>
  <c r="AN2" i="1"/>
  <c r="AS2" i="1"/>
  <c r="AU2" i="1"/>
  <c r="AR2" i="1"/>
  <c r="AT2" i="1"/>
  <c r="Z2" i="1"/>
  <c r="AT22" i="1"/>
</calcChain>
</file>

<file path=xl/sharedStrings.xml><?xml version="1.0" encoding="utf-8"?>
<sst xmlns="http://schemas.openxmlformats.org/spreadsheetml/2006/main" count="745" uniqueCount="157">
  <si>
    <t>Room</t>
  </si>
  <si>
    <t>Pattern - A</t>
  </si>
  <si>
    <t>Color - A</t>
  </si>
  <si>
    <t>Fabric Width - A</t>
  </si>
  <si>
    <t>Vertical Repeat - A</t>
  </si>
  <si>
    <t>Panel type</t>
  </si>
  <si>
    <t xml:space="preserve">Combine fabric
</t>
  </si>
  <si>
    <t xml:space="preserve">Pattern - B
</t>
  </si>
  <si>
    <t xml:space="preserve">Color - B
</t>
  </si>
  <si>
    <t>Fabric Width - B</t>
  </si>
  <si>
    <t>Vertical Repeat - B</t>
  </si>
  <si>
    <t>% of fabric B</t>
  </si>
  <si>
    <t>% of fabric A</t>
  </si>
  <si>
    <t xml:space="preserve">Combined Panel Position
</t>
  </si>
  <si>
    <t xml:space="preserve">Apply Trim - banding
</t>
  </si>
  <si>
    <t xml:space="preserve">Postion of trim-banding
</t>
  </si>
  <si>
    <t>Trim- banding Patten</t>
  </si>
  <si>
    <t>Trim - banding color</t>
  </si>
  <si>
    <t>Trim - Banding Width Size</t>
  </si>
  <si>
    <t xml:space="preserve">Lining type
</t>
  </si>
  <si>
    <t>Lining Color</t>
  </si>
  <si>
    <t>Rod Size - Area to cover</t>
  </si>
  <si>
    <t xml:space="preserve">Scroll Panel # of widths
</t>
  </si>
  <si>
    <t xml:space="preserve">Space above window
</t>
  </si>
  <si>
    <t>Long finish length</t>
  </si>
  <si>
    <t>Short finish length</t>
  </si>
  <si>
    <t>Rod Pocke size</t>
  </si>
  <si>
    <t xml:space="preserve">Opening position
</t>
  </si>
  <si>
    <t>Overlap Size</t>
  </si>
  <si>
    <t>Return size</t>
  </si>
  <si>
    <t>Amount of Pattern A Fabric width</t>
  </si>
  <si>
    <t>Pleat To A</t>
  </si>
  <si>
    <t>Number of Fullness A</t>
  </si>
  <si>
    <t>Total Fullness A</t>
  </si>
  <si>
    <t># of widths Pattern A</t>
  </si>
  <si>
    <t>Pleat To B</t>
  </si>
  <si>
    <t>Number of fullness B</t>
  </si>
  <si>
    <t>Total fullness B</t>
  </si>
  <si>
    <t>Amount of Pattern B Fabric width</t>
  </si>
  <si>
    <t># of widths Pattern B</t>
  </si>
  <si>
    <t>Finish Length</t>
  </si>
  <si>
    <t>Bottom Hem Size</t>
  </si>
  <si>
    <t>Top head size</t>
  </si>
  <si>
    <t>Cut size (Fabric - A)</t>
  </si>
  <si>
    <t>Cut size (Fabric - B)</t>
  </si>
  <si>
    <t># of yds (Fabric -  A)</t>
  </si>
  <si>
    <t># of yds (Fabric -  B)</t>
  </si>
  <si>
    <t># of yds lining</t>
  </si>
  <si>
    <t># of yds Banding - Trim</t>
  </si>
  <si>
    <t>Special Instruction</t>
  </si>
  <si>
    <t>Lookup table for Rounding - If result is .00 to .29 round down</t>
  </si>
  <si>
    <t>&lt;=.25,(rounddown.1), &gt;.25,( roundup.5),&gt;=.5,&lt; .75( round down.5),&gt;=.75 roundup,1.)</t>
  </si>
  <si>
    <t>Bed</t>
  </si>
  <si>
    <t>Rod Panel</t>
  </si>
  <si>
    <t xml:space="preserve">Yes </t>
  </si>
  <si>
    <t xml:space="preserve">Left </t>
  </si>
  <si>
    <t>Lead Edge</t>
  </si>
  <si>
    <t xml:space="preserve">Standard </t>
  </si>
  <si>
    <t>White</t>
  </si>
  <si>
    <t>Center Open</t>
  </si>
  <si>
    <t>Din</t>
  </si>
  <si>
    <t>Crown Panel</t>
  </si>
  <si>
    <t>No</t>
  </si>
  <si>
    <t xml:space="preserve">Right </t>
  </si>
  <si>
    <t>Top</t>
  </si>
  <si>
    <t>Black out</t>
  </si>
  <si>
    <t xml:space="preserve">Ivory </t>
  </si>
  <si>
    <t>Left Draw</t>
  </si>
  <si>
    <t>Fam</t>
  </si>
  <si>
    <t>Scroll Panel</t>
  </si>
  <si>
    <t>Center</t>
  </si>
  <si>
    <t>Bottom</t>
  </si>
  <si>
    <t>Thermal</t>
  </si>
  <si>
    <t>Self</t>
  </si>
  <si>
    <t>Right Draw</t>
  </si>
  <si>
    <t>Liv</t>
  </si>
  <si>
    <t>Flat Panel</t>
  </si>
  <si>
    <t>Other</t>
  </si>
  <si>
    <t>Lined-Flanal</t>
  </si>
  <si>
    <t>M-bed</t>
  </si>
  <si>
    <t>Cubical Panel</t>
  </si>
  <si>
    <t>Blackout-Flanal</t>
  </si>
  <si>
    <t>Grommet Panel</t>
  </si>
  <si>
    <t>French Pleat</t>
  </si>
  <si>
    <t>None</t>
  </si>
  <si>
    <t>3 pleat tacktop</t>
  </si>
  <si>
    <t>2 pleat tack top</t>
  </si>
  <si>
    <t>Inverted pleat</t>
  </si>
  <si>
    <t>Ripple Fold Panel</t>
  </si>
  <si>
    <t>Red</t>
  </si>
  <si>
    <t>None1</t>
  </si>
  <si>
    <t>Yes</t>
  </si>
  <si>
    <t>None2</t>
  </si>
  <si>
    <t>Brown</t>
  </si>
  <si>
    <t>Not any specific.</t>
  </si>
  <si>
    <t>Abc</t>
  </si>
  <si>
    <t>Try1</t>
  </si>
  <si>
    <t>Try2</t>
  </si>
  <si>
    <t>Try3</t>
  </si>
  <si>
    <t>Try4</t>
  </si>
  <si>
    <t>Try5</t>
  </si>
  <si>
    <t>Try6</t>
  </si>
  <si>
    <t>try 7</t>
  </si>
  <si>
    <t>red</t>
  </si>
  <si>
    <t>try8</t>
  </si>
  <si>
    <t>rd</t>
  </si>
  <si>
    <t>try9</t>
  </si>
  <si>
    <t>try10</t>
  </si>
  <si>
    <t>N/A</t>
  </si>
  <si>
    <t>try11</t>
  </si>
  <si>
    <t>n/A</t>
  </si>
  <si>
    <t>try12</t>
  </si>
  <si>
    <t>try13</t>
  </si>
  <si>
    <t>try14</t>
  </si>
  <si>
    <t>Small</t>
  </si>
  <si>
    <t>Medium</t>
  </si>
  <si>
    <t>Large</t>
  </si>
  <si>
    <t>Left</t>
  </si>
  <si>
    <t>Right</t>
  </si>
  <si>
    <t>Scroll Size A</t>
  </si>
  <si>
    <t>Scroll Position A</t>
  </si>
  <si>
    <t>Scroll Size B</t>
  </si>
  <si>
    <t>Scroll Position B</t>
  </si>
  <si>
    <t>n</t>
  </si>
  <si>
    <t>ANy</t>
  </si>
  <si>
    <t>any</t>
  </si>
  <si>
    <t>A</t>
  </si>
  <si>
    <t>REd</t>
  </si>
  <si>
    <t>Any</t>
  </si>
  <si>
    <t>scrr</t>
  </si>
  <si>
    <t>scr1</t>
  </si>
  <si>
    <t>orange</t>
  </si>
  <si>
    <t>N/a</t>
  </si>
  <si>
    <t xml:space="preserve">any </t>
  </si>
  <si>
    <t>o</t>
  </si>
  <si>
    <t>a</t>
  </si>
  <si>
    <t>b</t>
  </si>
  <si>
    <t>No of Yards Banding Trim B</t>
  </si>
  <si>
    <t>none</t>
  </si>
  <si>
    <t xml:space="preserve">Drapes Opening position
</t>
  </si>
  <si>
    <t>No of yds Banding - Trim</t>
  </si>
  <si>
    <t>tryP</t>
  </si>
  <si>
    <t>SCROLL PANEL ORDER DETAILS</t>
  </si>
  <si>
    <t>Customer Name:</t>
  </si>
  <si>
    <t>Date Assigned:</t>
  </si>
  <si>
    <t>Date Order Written:</t>
  </si>
  <si>
    <t>Tentative Completion Date:</t>
  </si>
  <si>
    <t>FLAT &amp; SIMILAR PANELS ORDER DETAILS</t>
  </si>
  <si>
    <t>ROD &amp; CROWN PANELS ORDER DETAILS</t>
  </si>
  <si>
    <t>PLEAT PANELS ORDER DETAILS</t>
  </si>
  <si>
    <t>Special inst</t>
  </si>
  <si>
    <t>Pair</t>
  </si>
  <si>
    <t>Window Location</t>
  </si>
  <si>
    <t>Workroom</t>
  </si>
  <si>
    <t>Taha</t>
  </si>
  <si>
    <t>20-6-16</t>
  </si>
  <si>
    <t>28-06-16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</si>
</sst>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4"/>
      <color rgb="FF000000"/>
      <name val="Arial"/>
      <family val="2"/>
    </font>
    <font>
      <sz val="11"/>
      <color theme="1"/>
      <name val="Arial"/>
      <family val="2"/>
    </font>
    <font>
      <sz val="12"/>
      <color rgb="FF000000"/>
      <name val="Calibri"/>
      <family val="2"/>
    </font>
    <font>
      <sz val="16"/>
      <color theme="1"/>
      <name val="Arial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6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</patternFill>
    </fill>
  </fills>
  <borders count="26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rgb="FFFF0000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1" fillId="9" borderId="15" applyNumberFormat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86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9" fontId="0" fillId="0" borderId="0" xfId="0" applyNumberFormat="1"/>
    <xf numFmtId="0" fontId="2" fillId="0" borderId="0" xfId="0" applyFont="1"/>
    <xf numFmtId="0" fontId="3" fillId="4" borderId="3" xfId="0" applyFont="1" applyFill="1" applyBorder="1" applyAlignment="1">
      <alignment horizontal="right"/>
    </xf>
    <xf numFmtId="0" fontId="3" fillId="4" borderId="4" xfId="0" applyFont="1" applyFill="1" applyBorder="1" applyAlignment="1">
      <alignment horizontal="right"/>
    </xf>
    <xf numFmtId="0" fontId="3" fillId="4" borderId="5" xfId="0" applyFont="1" applyFill="1" applyBorder="1" applyAlignment="1">
      <alignment horizontal="right"/>
    </xf>
    <xf numFmtId="0" fontId="3" fillId="4" borderId="1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wrapText="1"/>
    </xf>
    <xf numFmtId="0" fontId="5" fillId="4" borderId="4" xfId="0" applyFont="1" applyFill="1" applyBorder="1" applyAlignment="1">
      <alignment horizontal="center" wrapText="1"/>
    </xf>
    <xf numFmtId="0" fontId="7" fillId="0" borderId="6" xfId="0" applyFont="1" applyBorder="1" applyAlignment="1">
      <alignment horizontal="center" vertical="center"/>
    </xf>
    <xf numFmtId="0" fontId="6" fillId="0" borderId="0" xfId="0" applyFont="1" applyBorder="1" applyAlignment="1"/>
    <xf numFmtId="0" fontId="0" fillId="0" borderId="0" xfId="0" applyBorder="1" applyAlignment="1">
      <alignment horizontal="center"/>
    </xf>
    <xf numFmtId="0" fontId="7" fillId="0" borderId="8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5" fillId="4" borderId="3" xfId="0" applyFont="1" applyFill="1" applyBorder="1" applyAlignment="1">
      <alignment vertical="center" wrapText="1"/>
    </xf>
    <xf numFmtId="0" fontId="5" fillId="4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1" fillId="3" borderId="6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0" fillId="0" borderId="10" xfId="0" applyBorder="1"/>
    <xf numFmtId="0" fontId="1" fillId="8" borderId="10" xfId="0" applyFont="1" applyFill="1" applyBorder="1" applyAlignment="1">
      <alignment horizontal="center" vertical="center" wrapText="1"/>
    </xf>
    <xf numFmtId="14" fontId="9" fillId="0" borderId="12" xfId="0" applyNumberFormat="1" applyFont="1" applyBorder="1" applyAlignment="1">
      <alignment horizontal="left" vertical="center"/>
    </xf>
    <xf numFmtId="0" fontId="1" fillId="3" borderId="7" xfId="0" applyFont="1" applyFill="1" applyBorder="1" applyAlignment="1">
      <alignment horizontal="center" vertical="center" wrapText="1"/>
    </xf>
    <xf numFmtId="0" fontId="0" fillId="0" borderId="16" xfId="0" applyBorder="1"/>
    <xf numFmtId="0" fontId="1" fillId="7" borderId="17" xfId="0" applyFont="1" applyFill="1" applyBorder="1" applyAlignment="1">
      <alignment horizontal="center" vertical="center" wrapText="1"/>
    </xf>
    <xf numFmtId="0" fontId="0" fillId="0" borderId="17" xfId="0" applyBorder="1"/>
    <xf numFmtId="0" fontId="1" fillId="8" borderId="17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0" fillId="0" borderId="18" xfId="0" applyBorder="1"/>
    <xf numFmtId="0" fontId="0" fillId="0" borderId="7" xfId="0" applyBorder="1"/>
    <xf numFmtId="0" fontId="7" fillId="0" borderId="11" xfId="0" applyFont="1" applyBorder="1" applyAlignment="1">
      <alignment horizontal="left" vertical="center"/>
    </xf>
    <xf numFmtId="0" fontId="9" fillId="0" borderId="19" xfId="0" applyFont="1" applyBorder="1" applyAlignment="1">
      <alignment horizontal="left" vertical="center"/>
    </xf>
    <xf numFmtId="0" fontId="6" fillId="0" borderId="9" xfId="0" applyFont="1" applyBorder="1" applyAlignment="1"/>
    <xf numFmtId="0" fontId="1" fillId="7" borderId="8" xfId="0" applyFont="1" applyFill="1" applyBorder="1" applyAlignment="1">
      <alignment horizontal="center" vertical="center" wrapText="1"/>
    </xf>
    <xf numFmtId="0" fontId="12" fillId="7" borderId="8" xfId="1" applyFont="1" applyFill="1" applyBorder="1" applyAlignment="1">
      <alignment horizontal="center" vertical="center" wrapText="1"/>
    </xf>
    <xf numFmtId="0" fontId="7" fillId="0" borderId="20" xfId="0" applyFont="1" applyBorder="1" applyAlignment="1">
      <alignment horizontal="left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0" fillId="0" borderId="21" xfId="0" applyBorder="1"/>
    <xf numFmtId="0" fontId="0" fillId="0" borderId="12" xfId="0" applyBorder="1"/>
    <xf numFmtId="0" fontId="0" fillId="0" borderId="17" xfId="0" applyBorder="1" applyAlignment="1">
      <alignment horizontal="center"/>
    </xf>
    <xf numFmtId="0" fontId="1" fillId="3" borderId="8" xfId="0" applyFont="1" applyFill="1" applyBorder="1" applyAlignment="1">
      <alignment horizontal="center" vertical="center" wrapText="1"/>
    </xf>
    <xf numFmtId="0" fontId="0" fillId="0" borderId="23" xfId="0" applyBorder="1"/>
    <xf numFmtId="0" fontId="7" fillId="0" borderId="24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6" fillId="6" borderId="0" xfId="0" applyFont="1" applyFill="1" applyBorder="1" applyAlignment="1"/>
    <xf numFmtId="0" fontId="1" fillId="6" borderId="8" xfId="0" applyFont="1" applyFill="1" applyBorder="1" applyAlignment="1">
      <alignment horizontal="center" vertical="center" wrapText="1"/>
    </xf>
    <xf numFmtId="0" fontId="0" fillId="6" borderId="17" xfId="0" applyFill="1" applyBorder="1"/>
    <xf numFmtId="0" fontId="0" fillId="6" borderId="0" xfId="0" applyFill="1"/>
    <xf numFmtId="0" fontId="6" fillId="0" borderId="6" xfId="0" applyFont="1" applyBorder="1" applyAlignment="1">
      <alignment horizontal="center"/>
    </xf>
    <xf numFmtId="0" fontId="9" fillId="0" borderId="8" xfId="0" applyFont="1" applyBorder="1" applyAlignment="1">
      <alignment horizontal="left" vertical="center"/>
    </xf>
    <xf numFmtId="0" fontId="7" fillId="0" borderId="6" xfId="0" applyFont="1" applyBorder="1" applyAlignment="1">
      <alignment horizontal="center" vertical="center"/>
    </xf>
    <xf numFmtId="14" fontId="8" fillId="0" borderId="6" xfId="0" applyNumberFormat="1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14" fontId="9" fillId="0" borderId="6" xfId="0" applyNumberFormat="1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7" fillId="0" borderId="20" xfId="0" applyFont="1" applyBorder="1" applyAlignment="1">
      <alignment horizontal="left" vertical="center"/>
    </xf>
    <xf numFmtId="0" fontId="7" fillId="0" borderId="21" xfId="0" applyFont="1" applyBorder="1" applyAlignment="1">
      <alignment horizontal="left" vertical="center"/>
    </xf>
    <xf numFmtId="14" fontId="8" fillId="0" borderId="21" xfId="0" applyNumberFormat="1" applyFont="1" applyBorder="1" applyAlignment="1">
      <alignment vertical="center"/>
    </xf>
    <xf numFmtId="0" fontId="8" fillId="0" borderId="23" xfId="0" applyFont="1" applyBorder="1" applyAlignment="1">
      <alignment vertical="center"/>
    </xf>
    <xf numFmtId="0" fontId="7" fillId="0" borderId="11" xfId="0" applyFont="1" applyBorder="1" applyAlignment="1">
      <alignment horizontal="left" vertical="center"/>
    </xf>
    <xf numFmtId="0" fontId="7" fillId="0" borderId="12" xfId="0" applyFont="1" applyBorder="1" applyAlignment="1">
      <alignment horizontal="left" vertical="center"/>
    </xf>
    <xf numFmtId="14" fontId="8" fillId="0" borderId="12" xfId="0" applyNumberFormat="1" applyFont="1" applyBorder="1" applyAlignment="1">
      <alignment vertical="center"/>
    </xf>
    <xf numFmtId="0" fontId="8" fillId="0" borderId="13" xfId="0" applyFont="1" applyBorder="1" applyAlignment="1">
      <alignment vertical="center"/>
    </xf>
    <xf numFmtId="0" fontId="6" fillId="0" borderId="9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14" fontId="8" fillId="0" borderId="17" xfId="0" applyNumberFormat="1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14" fontId="8" fillId="0" borderId="12" xfId="0" applyNumberFormat="1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9" fillId="0" borderId="17" xfId="0" applyFont="1" applyBorder="1" applyAlignment="1">
      <alignment horizontal="left" vertical="center"/>
    </xf>
    <xf numFmtId="0" fontId="7" fillId="0" borderId="17" xfId="0" applyFont="1" applyBorder="1" applyAlignment="1">
      <alignment horizontal="center" vertical="center"/>
    </xf>
    <xf numFmtId="14" fontId="9" fillId="0" borderId="12" xfId="0" applyNumberFormat="1" applyFont="1" applyBorder="1" applyAlignment="1">
      <alignment horizontal="left" vertical="center"/>
    </xf>
    <xf numFmtId="0" fontId="9" fillId="0" borderId="12" xfId="0" applyFont="1" applyBorder="1" applyAlignment="1">
      <alignment horizontal="left" vertical="center"/>
    </xf>
    <xf numFmtId="0" fontId="7" fillId="0" borderId="12" xfId="0" applyFont="1" applyBorder="1" applyAlignment="1">
      <alignment horizontal="center" vertical="center"/>
    </xf>
  </cellXfs>
  <cellStyles count="4">
    <cellStyle name="Followed Hyperlink" xfId="3" builtinId="9" hidden="1"/>
    <cellStyle name="Hyperlink" xfId="2" builtinId="8" hidden="1"/>
    <cellStyle name="Input" xfId="1" builtinId="20"/>
    <cellStyle name="Normal" xfId="0" builtinId="0"/>
  </cellStyles>
  <dxfs count="0"/>
  <tableStyles count="0" defaultTableStyle="TableStyleMedium9" defaultPivotStyle="PivotStyleMedium7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104775</xdr:rowOff>
        </xdr:from>
        <xdr:to>
          <xdr:col>2</xdr:col>
          <xdr:colOff>342900</xdr:colOff>
          <xdr:row>0</xdr:row>
          <xdr:rowOff>504825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504825</xdr:colOff>
          <xdr:row>0</xdr:row>
          <xdr:rowOff>190500</xdr:rowOff>
        </xdr:from>
        <xdr:to>
          <xdr:col>14</xdr:col>
          <xdr:colOff>66675</xdr:colOff>
          <xdr:row>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28575</xdr:rowOff>
        </xdr:from>
        <xdr:to>
          <xdr:col>5</xdr:col>
          <xdr:colOff>638175</xdr:colOff>
          <xdr:row>3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1</xdr:row>
          <xdr:rowOff>0</xdr:rowOff>
        </xdr:from>
        <xdr:to>
          <xdr:col>6</xdr:col>
          <xdr:colOff>1095375</xdr:colOff>
          <xdr:row>2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0</xdr:row>
          <xdr:rowOff>200025</xdr:rowOff>
        </xdr:from>
        <xdr:to>
          <xdr:col>14</xdr:col>
          <xdr:colOff>200025</xdr:colOff>
          <xdr:row>2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</xdr:row>
          <xdr:rowOff>28575</xdr:rowOff>
        </xdr:from>
        <xdr:to>
          <xdr:col>5</xdr:col>
          <xdr:colOff>723900</xdr:colOff>
          <xdr:row>2</xdr:row>
          <xdr:rowOff>257175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219075</xdr:rowOff>
        </xdr:from>
        <xdr:to>
          <xdr:col>6</xdr:col>
          <xdr:colOff>0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</xdr:row>
          <xdr:rowOff>47625</xdr:rowOff>
        </xdr:from>
        <xdr:to>
          <xdr:col>5</xdr:col>
          <xdr:colOff>552450</xdr:colOff>
          <xdr:row>2</xdr:row>
          <xdr:rowOff>266700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CG51"/>
  <sheetViews>
    <sheetView zoomScale="90" zoomScaleNormal="90" zoomScalePageLayoutView="90" workbookViewId="0">
      <pane ySplit="1" topLeftCell="A37" activePane="bottomLeft" state="frozen"/>
      <selection pane="bottomLeft" activeCell="AW51" sqref="AW51"/>
    </sheetView>
  </sheetViews>
  <sheetFormatPr defaultColWidth="11" defaultRowHeight="15.75" x14ac:dyDescent="0.25"/>
  <cols>
    <col min="6" max="6" width="11.625" bestFit="1" customWidth="1"/>
    <col min="7" max="7" width="10.625" customWidth="1"/>
    <col min="20" max="20" width="14.375" bestFit="1" customWidth="1"/>
    <col min="28" max="28" width="13.625" bestFit="1" customWidth="1"/>
    <col min="50" max="50" width="15.125" bestFit="1" customWidth="1"/>
    <col min="82" max="82" width="3.125" customWidth="1"/>
    <col min="83" max="83" width="11" hidden="1" customWidth="1"/>
    <col min="84" max="84" width="15.625" customWidth="1"/>
    <col min="85" max="85" width="21.375" bestFit="1" customWidth="1"/>
  </cols>
  <sheetData>
    <row r="1" spans="1:85" ht="116.25" customHeight="1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12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2" t="s">
        <v>11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1" t="s">
        <v>27</v>
      </c>
      <c r="AC1" s="9" t="s">
        <v>28</v>
      </c>
      <c r="AD1" s="9" t="s">
        <v>29</v>
      </c>
      <c r="AE1" s="10" t="s">
        <v>30</v>
      </c>
      <c r="AF1" s="10" t="s">
        <v>31</v>
      </c>
      <c r="AG1" s="1" t="s">
        <v>32</v>
      </c>
      <c r="AH1" s="10" t="s">
        <v>33</v>
      </c>
      <c r="AI1" s="10" t="s">
        <v>34</v>
      </c>
      <c r="AJ1" s="11" t="s">
        <v>35</v>
      </c>
      <c r="AK1" s="2" t="s">
        <v>36</v>
      </c>
      <c r="AL1" s="10" t="s">
        <v>37</v>
      </c>
      <c r="AM1" s="10" t="s">
        <v>38</v>
      </c>
      <c r="AN1" s="11" t="s">
        <v>39</v>
      </c>
      <c r="AO1" s="1" t="s">
        <v>40</v>
      </c>
      <c r="AP1" s="1" t="s">
        <v>41</v>
      </c>
      <c r="AQ1" s="1" t="s">
        <v>42</v>
      </c>
      <c r="AR1" s="10" t="s">
        <v>43</v>
      </c>
      <c r="AS1" s="10" t="s">
        <v>44</v>
      </c>
      <c r="AT1" s="10" t="s">
        <v>45</v>
      </c>
      <c r="AU1" s="10" t="s">
        <v>46</v>
      </c>
      <c r="AV1" s="10" t="s">
        <v>47</v>
      </c>
      <c r="AW1" s="10" t="s">
        <v>48</v>
      </c>
      <c r="AX1" s="1" t="s">
        <v>49</v>
      </c>
      <c r="AY1" s="1" t="s">
        <v>119</v>
      </c>
      <c r="AZ1" s="1" t="s">
        <v>120</v>
      </c>
      <c r="BA1" s="1" t="s">
        <v>121</v>
      </c>
      <c r="BB1" s="1" t="s">
        <v>122</v>
      </c>
      <c r="BC1" s="1" t="s">
        <v>137</v>
      </c>
      <c r="CF1" s="12" t="s">
        <v>50</v>
      </c>
      <c r="CG1" s="13" t="s">
        <v>51</v>
      </c>
    </row>
    <row r="2" spans="1:85" ht="18.75" thickBot="1" x14ac:dyDescent="0.3">
      <c r="A2" t="s">
        <v>75</v>
      </c>
      <c r="B2" t="s">
        <v>90</v>
      </c>
      <c r="C2" t="s">
        <v>89</v>
      </c>
      <c r="D2">
        <v>57</v>
      </c>
      <c r="E2">
        <v>17</v>
      </c>
      <c r="F2" t="s">
        <v>69</v>
      </c>
      <c r="G2" s="3">
        <v>0.4</v>
      </c>
      <c r="H2" t="s">
        <v>91</v>
      </c>
      <c r="I2" t="s">
        <v>92</v>
      </c>
      <c r="J2" t="s">
        <v>93</v>
      </c>
      <c r="K2">
        <v>59</v>
      </c>
      <c r="L2">
        <v>4</v>
      </c>
      <c r="M2" s="3">
        <v>0.4</v>
      </c>
      <c r="N2" t="s">
        <v>63</v>
      </c>
      <c r="T2" t="s">
        <v>72</v>
      </c>
      <c r="U2" t="s">
        <v>66</v>
      </c>
      <c r="V2">
        <v>100</v>
      </c>
      <c r="W2">
        <v>6</v>
      </c>
      <c r="X2">
        <v>7</v>
      </c>
      <c r="Y2">
        <v>112</v>
      </c>
      <c r="Z2">
        <f>Y2-X2</f>
        <v>105</v>
      </c>
      <c r="AA2">
        <v>3</v>
      </c>
      <c r="AB2" t="s">
        <v>59</v>
      </c>
      <c r="AC2">
        <v>4</v>
      </c>
      <c r="AD2">
        <v>4</v>
      </c>
      <c r="AE2">
        <f t="shared" ref="AE2:AE19" si="0">G2*D2</f>
        <v>22.8</v>
      </c>
      <c r="AF2">
        <f t="shared" ref="AF2:AF18" si="1">(V2*(G2*AE2))/100</f>
        <v>9.120000000000001</v>
      </c>
      <c r="AG2">
        <v>2</v>
      </c>
      <c r="AH2">
        <f t="shared" ref="AH2:AH19" si="2">AG2*AF2</f>
        <v>18.240000000000002</v>
      </c>
      <c r="AI2">
        <f t="shared" ref="AI2:AI19" si="3">IF(AB2="Center open",ROUNDUP(INT((AH2/AE2))+VLOOKUP((AH2/3)-INT(AH2/AE2),$CF$1:$CG$4,2),0),INT((AH2/AE2))+VLOOKUP((AH2/AE2)-INT(AH2/AE2),$CF$1:$CG$4,2))</f>
        <v>1</v>
      </c>
      <c r="AJ2">
        <f>(V2*(AM2))/100</f>
        <v>23.6</v>
      </c>
      <c r="AK2">
        <v>2</v>
      </c>
      <c r="AL2">
        <f>AK2*AJ2</f>
        <v>47.2</v>
      </c>
      <c r="AM2">
        <f>M2*K2</f>
        <v>23.6</v>
      </c>
      <c r="AN2">
        <f>IF(AB2="Center open",ROUNDUP(INT((AL2/AM2))+VLOOKUP((AL2/3)-INT(AL2/AM2),$CF$1:$CG$4,2),0),INT((AL2/AM2))+VLOOKUP((AL2/AM2)-INT(AL2/AM2),$CF$1:$CG$4,2))</f>
        <v>3</v>
      </c>
      <c r="AO2">
        <v>100</v>
      </c>
      <c r="AP2">
        <v>4</v>
      </c>
      <c r="AQ2">
        <v>4</v>
      </c>
      <c r="AR2" s="4">
        <f>((ROUNDUP(AO2/MAX(1,E2),0))*MAX(1,AO2))+(AP2+AA2)*2</f>
        <v>614</v>
      </c>
      <c r="AS2" s="4">
        <f>((ROUNDUP(AO2/MAX(1,L2),0))*MAX(1,AO2))+(AP2+AA2)*2</f>
        <v>2514</v>
      </c>
      <c r="AT2">
        <f t="shared" ref="AT2:AT13" si="4">(AR2/AI2)/36</f>
        <v>17.055555555555557</v>
      </c>
      <c r="AU2">
        <f>(AS2/AN2)/36</f>
        <v>23.277777777777779</v>
      </c>
      <c r="AV2">
        <f>ROUNDUP((Y2+AP2+AA2)*2/36,0)</f>
        <v>7</v>
      </c>
      <c r="AW2">
        <f>(Y2+AA2)/36</f>
        <v>3.1944444444444446</v>
      </c>
      <c r="AX2" t="s">
        <v>94</v>
      </c>
      <c r="CF2" s="5">
        <v>0</v>
      </c>
      <c r="CG2" s="6">
        <v>0</v>
      </c>
    </row>
    <row r="3" spans="1:85" ht="18.75" thickBot="1" x14ac:dyDescent="0.3">
      <c r="A3" t="s">
        <v>75</v>
      </c>
      <c r="B3" t="s">
        <v>90</v>
      </c>
      <c r="C3" t="s">
        <v>89</v>
      </c>
      <c r="D3">
        <v>57</v>
      </c>
      <c r="E3">
        <v>17</v>
      </c>
      <c r="F3" t="s">
        <v>69</v>
      </c>
      <c r="G3">
        <v>0.5</v>
      </c>
      <c r="H3" t="s">
        <v>91</v>
      </c>
      <c r="I3" t="s">
        <v>92</v>
      </c>
      <c r="J3" t="s">
        <v>93</v>
      </c>
      <c r="K3">
        <v>57</v>
      </c>
      <c r="L3">
        <v>4</v>
      </c>
      <c r="M3">
        <v>0.5</v>
      </c>
      <c r="N3" t="s">
        <v>63</v>
      </c>
      <c r="T3" t="s">
        <v>72</v>
      </c>
      <c r="U3" t="s">
        <v>66</v>
      </c>
      <c r="V3">
        <v>100</v>
      </c>
      <c r="W3">
        <v>6</v>
      </c>
      <c r="X3">
        <v>7</v>
      </c>
      <c r="Y3">
        <v>112</v>
      </c>
      <c r="Z3">
        <f>Y3-X3</f>
        <v>105</v>
      </c>
      <c r="AA3">
        <v>3</v>
      </c>
      <c r="AB3" t="s">
        <v>59</v>
      </c>
      <c r="AE3">
        <f t="shared" si="0"/>
        <v>28.5</v>
      </c>
      <c r="AF3">
        <f t="shared" si="1"/>
        <v>14.25</v>
      </c>
      <c r="AG3">
        <v>2</v>
      </c>
      <c r="AH3">
        <f t="shared" si="2"/>
        <v>28.5</v>
      </c>
      <c r="AI3">
        <f t="shared" si="3"/>
        <v>2</v>
      </c>
      <c r="AJ3">
        <f>(V3*(M3*AM3))/100</f>
        <v>14.25</v>
      </c>
      <c r="AK3">
        <v>2</v>
      </c>
      <c r="AL3">
        <f>AK3*AJ3</f>
        <v>28.5</v>
      </c>
      <c r="AM3">
        <f>M3*K3</f>
        <v>28.5</v>
      </c>
      <c r="AN3">
        <f>IF(AB3="Center open",ROUNDUP(INT((AL3/AM3))+VLOOKUP((AL3/3)-INT(AL3/AM3),$CF$1:$CG$4,2),0),INT((AL3/AM3))+VLOOKUP((AL3/AM3)-INT(AL3/AM3),$CF$1:$CG$4,2))</f>
        <v>2</v>
      </c>
      <c r="AP3">
        <v>4</v>
      </c>
      <c r="AR3" s="4">
        <f>((ROUNDUP(AO3/MAX(1,E3),0))*MAX(1,AO3))+(AP3+AA3)*2</f>
        <v>14</v>
      </c>
      <c r="AS3" s="4">
        <f>((ROUNDUP(AO3/MAX(1,L3),0))*MAX(1,AO3))+(AP3+AA3)*2</f>
        <v>14</v>
      </c>
      <c r="AT3">
        <f t="shared" si="4"/>
        <v>0.19444444444444445</v>
      </c>
      <c r="AU3">
        <f>(AS3/AN3)/36</f>
        <v>0.19444444444444445</v>
      </c>
      <c r="AV3">
        <f>ROUNDUP((Y3+AP3+AA3)*2/36,0)</f>
        <v>7</v>
      </c>
      <c r="AW3">
        <f>(Y3+AA3)/36</f>
        <v>3.1944444444444446</v>
      </c>
      <c r="AX3" t="s">
        <v>94</v>
      </c>
      <c r="CF3" s="5">
        <v>0</v>
      </c>
      <c r="CG3" s="6">
        <v>0</v>
      </c>
    </row>
    <row r="4" spans="1:85" ht="18.75" thickBot="1" x14ac:dyDescent="0.3">
      <c r="A4" t="s">
        <v>75</v>
      </c>
      <c r="B4" t="s">
        <v>95</v>
      </c>
      <c r="C4" t="s">
        <v>95</v>
      </c>
      <c r="D4">
        <v>54</v>
      </c>
      <c r="E4">
        <v>28</v>
      </c>
      <c r="F4" t="s">
        <v>69</v>
      </c>
      <c r="G4">
        <v>0.5</v>
      </c>
      <c r="H4" t="s">
        <v>62</v>
      </c>
      <c r="N4" t="s">
        <v>62</v>
      </c>
      <c r="T4" t="s">
        <v>72</v>
      </c>
      <c r="U4" t="s">
        <v>73</v>
      </c>
      <c r="V4">
        <v>100</v>
      </c>
      <c r="W4">
        <v>6</v>
      </c>
      <c r="X4">
        <v>7</v>
      </c>
      <c r="Y4">
        <v>110</v>
      </c>
      <c r="Z4">
        <f>Y4-X4</f>
        <v>103</v>
      </c>
      <c r="AA4">
        <v>4</v>
      </c>
      <c r="AB4" t="s">
        <v>59</v>
      </c>
      <c r="AE4">
        <f t="shared" si="0"/>
        <v>27</v>
      </c>
      <c r="AF4">
        <f t="shared" si="1"/>
        <v>13.5</v>
      </c>
      <c r="AG4">
        <v>2</v>
      </c>
      <c r="AH4">
        <f t="shared" si="2"/>
        <v>27</v>
      </c>
      <c r="AI4">
        <f t="shared" si="3"/>
        <v>2</v>
      </c>
      <c r="AP4">
        <v>4</v>
      </c>
      <c r="AR4" s="4">
        <f>((ROUNDUP(Y4/MAX(1,E4),0))*MAX(1,Y4))+(AP4+AA4)*2</f>
        <v>456</v>
      </c>
      <c r="AT4">
        <f t="shared" si="4"/>
        <v>6.333333333333333</v>
      </c>
      <c r="AV4">
        <f>ROUNDUP((Y4+AP4+AA4)*2/36,0)</f>
        <v>7</v>
      </c>
      <c r="AW4">
        <f>(Y4+AA4)/36</f>
        <v>3.1666666666666665</v>
      </c>
      <c r="CF4" s="7">
        <v>0.28999999999999998</v>
      </c>
      <c r="CG4" s="8">
        <v>0.5</v>
      </c>
    </row>
    <row r="5" spans="1:85" x14ac:dyDescent="0.25">
      <c r="A5" t="s">
        <v>75</v>
      </c>
      <c r="B5" t="s">
        <v>95</v>
      </c>
      <c r="C5" t="s">
        <v>95</v>
      </c>
      <c r="D5">
        <v>54</v>
      </c>
      <c r="E5">
        <v>10</v>
      </c>
      <c r="F5" t="s">
        <v>69</v>
      </c>
      <c r="G5">
        <v>0.5</v>
      </c>
      <c r="H5" t="s">
        <v>62</v>
      </c>
      <c r="N5" t="s">
        <v>62</v>
      </c>
      <c r="T5" t="s">
        <v>72</v>
      </c>
      <c r="U5" t="s">
        <v>73</v>
      </c>
      <c r="V5">
        <v>100</v>
      </c>
      <c r="W5">
        <v>6</v>
      </c>
      <c r="X5">
        <v>7</v>
      </c>
      <c r="Y5">
        <v>110</v>
      </c>
      <c r="Z5">
        <f>Y5-X5</f>
        <v>103</v>
      </c>
      <c r="AA5">
        <v>4</v>
      </c>
      <c r="AB5" t="s">
        <v>59</v>
      </c>
      <c r="AE5">
        <f t="shared" si="0"/>
        <v>27</v>
      </c>
      <c r="AF5">
        <f t="shared" si="1"/>
        <v>13.5</v>
      </c>
      <c r="AG5">
        <v>2</v>
      </c>
      <c r="AH5">
        <f t="shared" si="2"/>
        <v>27</v>
      </c>
      <c r="AI5">
        <f t="shared" si="3"/>
        <v>2</v>
      </c>
      <c r="AP5">
        <v>4</v>
      </c>
      <c r="AR5">
        <f>(ROUNDUP((Y5+(AA5+AP5)*2)/E5,0)*E5)</f>
        <v>130</v>
      </c>
      <c r="AT5">
        <f t="shared" si="4"/>
        <v>1.8055555555555556</v>
      </c>
      <c r="AV5">
        <f>ROUNDUP((Y5+AP5+AA5)*2/36,0)</f>
        <v>7</v>
      </c>
      <c r="AW5">
        <f>(Y5+AA5)/36</f>
        <v>3.1666666666666665</v>
      </c>
    </row>
    <row r="6" spans="1:85" x14ac:dyDescent="0.25">
      <c r="A6" t="s">
        <v>79</v>
      </c>
      <c r="B6" t="s">
        <v>96</v>
      </c>
      <c r="C6" t="s">
        <v>96</v>
      </c>
      <c r="D6">
        <v>57</v>
      </c>
      <c r="E6">
        <v>10</v>
      </c>
      <c r="F6" t="s">
        <v>69</v>
      </c>
      <c r="G6">
        <v>0.5</v>
      </c>
      <c r="H6" t="s">
        <v>62</v>
      </c>
      <c r="N6" t="s">
        <v>62</v>
      </c>
      <c r="T6" t="s">
        <v>81</v>
      </c>
      <c r="U6" t="s">
        <v>66</v>
      </c>
      <c r="V6">
        <v>100</v>
      </c>
      <c r="W6">
        <v>8</v>
      </c>
      <c r="X6">
        <v>5</v>
      </c>
      <c r="Y6">
        <v>100</v>
      </c>
      <c r="Z6">
        <f>Y6-X6</f>
        <v>95</v>
      </c>
      <c r="AA6">
        <v>4</v>
      </c>
      <c r="AB6" t="s">
        <v>59</v>
      </c>
      <c r="AE6">
        <f t="shared" si="0"/>
        <v>28.5</v>
      </c>
      <c r="AF6">
        <f t="shared" si="1"/>
        <v>14.25</v>
      </c>
      <c r="AG6">
        <v>2</v>
      </c>
      <c r="AH6">
        <f t="shared" si="2"/>
        <v>28.5</v>
      </c>
      <c r="AI6">
        <f t="shared" si="3"/>
        <v>2</v>
      </c>
      <c r="AP6">
        <v>4</v>
      </c>
      <c r="AR6">
        <f>(ROUNDUP((Y6+(AA6+AP6)*2)/E6,0)*E6)</f>
        <v>120</v>
      </c>
      <c r="AT6">
        <f t="shared" si="4"/>
        <v>1.6666666666666667</v>
      </c>
      <c r="AV6">
        <f>ROUNDUP((Y6+AP6+AA6)*2/36,0)</f>
        <v>6</v>
      </c>
      <c r="AW6">
        <f>(Y6+AA6)/36</f>
        <v>2.8888888888888888</v>
      </c>
    </row>
    <row r="7" spans="1:85" x14ac:dyDescent="0.25">
      <c r="A7" t="s">
        <v>68</v>
      </c>
      <c r="B7" t="s">
        <v>97</v>
      </c>
      <c r="C7" t="s">
        <v>97</v>
      </c>
      <c r="D7">
        <v>54</v>
      </c>
      <c r="E7">
        <v>4</v>
      </c>
      <c r="F7" t="s">
        <v>76</v>
      </c>
      <c r="G7">
        <v>0.5</v>
      </c>
      <c r="H7" t="s">
        <v>62</v>
      </c>
      <c r="N7" t="s">
        <v>62</v>
      </c>
      <c r="T7" t="s">
        <v>81</v>
      </c>
      <c r="U7" t="s">
        <v>73</v>
      </c>
      <c r="V7">
        <v>100</v>
      </c>
      <c r="AB7" t="s">
        <v>59</v>
      </c>
      <c r="AE7">
        <f t="shared" si="0"/>
        <v>27</v>
      </c>
      <c r="AF7">
        <f t="shared" si="1"/>
        <v>13.5</v>
      </c>
      <c r="AG7">
        <v>2</v>
      </c>
      <c r="AH7">
        <f t="shared" si="2"/>
        <v>27</v>
      </c>
      <c r="AI7">
        <f t="shared" si="3"/>
        <v>2</v>
      </c>
      <c r="AO7">
        <v>100</v>
      </c>
      <c r="AP7">
        <v>4</v>
      </c>
      <c r="AQ7">
        <v>4</v>
      </c>
      <c r="AR7">
        <f>(ROUNDUP((AO7+(AQ7+AP7)*2)/E7,0)*E7)</f>
        <v>116</v>
      </c>
      <c r="AT7">
        <f t="shared" si="4"/>
        <v>1.6111111111111112</v>
      </c>
      <c r="AV7">
        <f>ROUNDUP((AO7+AP7+AQ7)*2/36,0)</f>
        <v>6</v>
      </c>
      <c r="AW7">
        <f>(AO7+AQ7)/36</f>
        <v>2.8888888888888888</v>
      </c>
    </row>
    <row r="8" spans="1:85" x14ac:dyDescent="0.25">
      <c r="A8" t="s">
        <v>68</v>
      </c>
      <c r="B8" t="s">
        <v>98</v>
      </c>
      <c r="C8" t="s">
        <v>98</v>
      </c>
      <c r="D8">
        <v>59</v>
      </c>
      <c r="E8">
        <v>10</v>
      </c>
      <c r="F8" t="s">
        <v>53</v>
      </c>
      <c r="G8">
        <v>0.5</v>
      </c>
      <c r="H8" t="s">
        <v>62</v>
      </c>
      <c r="N8" t="s">
        <v>62</v>
      </c>
      <c r="T8" t="s">
        <v>65</v>
      </c>
      <c r="U8" t="s">
        <v>66</v>
      </c>
      <c r="V8">
        <v>100</v>
      </c>
      <c r="AA8">
        <v>3</v>
      </c>
      <c r="AB8" t="s">
        <v>59</v>
      </c>
      <c r="AE8">
        <f t="shared" si="0"/>
        <v>29.5</v>
      </c>
      <c r="AF8">
        <f t="shared" si="1"/>
        <v>14.75</v>
      </c>
      <c r="AG8">
        <v>2</v>
      </c>
      <c r="AH8">
        <f t="shared" si="2"/>
        <v>29.5</v>
      </c>
      <c r="AI8">
        <f t="shared" si="3"/>
        <v>2</v>
      </c>
      <c r="AO8">
        <v>100</v>
      </c>
      <c r="AP8">
        <v>4</v>
      </c>
      <c r="AR8">
        <f>(ROUNDUP((AO8+(AA8+AP8)*2)/E8,0)*E8)</f>
        <v>120</v>
      </c>
      <c r="AT8">
        <f t="shared" si="4"/>
        <v>1.6666666666666667</v>
      </c>
      <c r="AV8">
        <f>ROUNDUP((AO8+AP8+AA8)*2/36,0)</f>
        <v>6</v>
      </c>
      <c r="AW8">
        <f>(AO8+AA8)/36</f>
        <v>2.8611111111111112</v>
      </c>
    </row>
    <row r="9" spans="1:85" x14ac:dyDescent="0.25">
      <c r="A9" t="s">
        <v>52</v>
      </c>
      <c r="B9" t="s">
        <v>99</v>
      </c>
      <c r="C9" t="s">
        <v>99</v>
      </c>
      <c r="D9">
        <v>59</v>
      </c>
      <c r="E9">
        <v>6</v>
      </c>
      <c r="F9" t="s">
        <v>83</v>
      </c>
      <c r="G9">
        <v>0.45</v>
      </c>
      <c r="H9" t="s">
        <v>91</v>
      </c>
      <c r="I9" t="s">
        <v>99</v>
      </c>
      <c r="J9" t="s">
        <v>99</v>
      </c>
      <c r="K9">
        <v>60</v>
      </c>
      <c r="L9">
        <v>7</v>
      </c>
      <c r="M9">
        <v>0.47</v>
      </c>
      <c r="T9" t="s">
        <v>81</v>
      </c>
      <c r="U9" t="s">
        <v>66</v>
      </c>
      <c r="V9">
        <v>100</v>
      </c>
      <c r="AB9" t="s">
        <v>59</v>
      </c>
      <c r="AC9">
        <v>3</v>
      </c>
      <c r="AD9">
        <v>2</v>
      </c>
      <c r="AE9">
        <f t="shared" si="0"/>
        <v>26.55</v>
      </c>
      <c r="AF9">
        <f t="shared" si="1"/>
        <v>11.9475</v>
      </c>
      <c r="AG9">
        <v>3</v>
      </c>
      <c r="AH9">
        <f t="shared" si="2"/>
        <v>35.842500000000001</v>
      </c>
      <c r="AI9">
        <f t="shared" si="3"/>
        <v>2</v>
      </c>
      <c r="AJ9">
        <f>(V9*(M9*AM9))/100</f>
        <v>13.253999999999998</v>
      </c>
      <c r="AK9">
        <v>2</v>
      </c>
      <c r="AL9">
        <f>AK9*AJ9</f>
        <v>26.507999999999996</v>
      </c>
      <c r="AM9">
        <f>M9*K9</f>
        <v>28.2</v>
      </c>
      <c r="AN9">
        <f>IF(AB9="Center open",ROUNDUP(INT((AL9/AM9))+VLOOKUP((AL9/3)-INT(AL9/AM9),$CF$1:$CG$4,2),0),INT((AL9/AM9))+VLOOKUP((AL9/AM9)-INT(AL9/AM9),$CF$1:$CG$4,2))</f>
        <v>1</v>
      </c>
      <c r="AO9">
        <v>100</v>
      </c>
      <c r="AP9">
        <v>3.5</v>
      </c>
      <c r="AQ9">
        <v>3</v>
      </c>
      <c r="AR9">
        <f>(ROUNDUP((AO9+(AQ9+AP9)*2)/E9,0)*E9)</f>
        <v>114</v>
      </c>
      <c r="AS9">
        <f>(ROUNDUP((AO9+(AQ9+AP9)*2)/L9,0)*L9)</f>
        <v>119</v>
      </c>
      <c r="AT9">
        <f t="shared" si="4"/>
        <v>1.5833333333333333</v>
      </c>
      <c r="AU9">
        <f>(AS9/AN9)/36</f>
        <v>3.3055555555555554</v>
      </c>
      <c r="AV9">
        <f>ROUNDUP((AO9+AP9+AQ9)*2/36,0)</f>
        <v>6</v>
      </c>
      <c r="AW9">
        <f>(AO9+AQ9)/36</f>
        <v>2.8611111111111112</v>
      </c>
    </row>
    <row r="10" spans="1:85" x14ac:dyDescent="0.25">
      <c r="A10" t="s">
        <v>68</v>
      </c>
      <c r="B10" t="s">
        <v>100</v>
      </c>
      <c r="C10" t="s">
        <v>100</v>
      </c>
      <c r="D10">
        <v>59</v>
      </c>
      <c r="E10">
        <v>8</v>
      </c>
      <c r="F10" t="s">
        <v>53</v>
      </c>
      <c r="G10">
        <v>0.5</v>
      </c>
      <c r="H10" t="s">
        <v>62</v>
      </c>
      <c r="N10" t="s">
        <v>62</v>
      </c>
      <c r="T10" t="s">
        <v>73</v>
      </c>
      <c r="U10" t="s">
        <v>66</v>
      </c>
      <c r="V10">
        <v>100</v>
      </c>
      <c r="AA10">
        <v>4</v>
      </c>
      <c r="AB10" t="s">
        <v>59</v>
      </c>
      <c r="AE10">
        <f t="shared" si="0"/>
        <v>29.5</v>
      </c>
      <c r="AF10">
        <f t="shared" si="1"/>
        <v>14.75</v>
      </c>
      <c r="AG10">
        <v>2</v>
      </c>
      <c r="AH10">
        <f t="shared" si="2"/>
        <v>29.5</v>
      </c>
      <c r="AI10">
        <f t="shared" si="3"/>
        <v>2</v>
      </c>
      <c r="AP10">
        <v>4</v>
      </c>
      <c r="AR10">
        <f t="shared" ref="AR10:AR19" si="5">(ROUNDUP((AO10+(AA10+AP10)*2)/E10,0)*E10)</f>
        <v>16</v>
      </c>
      <c r="AT10">
        <f t="shared" si="4"/>
        <v>0.22222222222222221</v>
      </c>
      <c r="AV10">
        <f t="shared" ref="AV10:AV19" si="6">ROUNDUP((AO10+AP10+AA10)*2/36,0)</f>
        <v>1</v>
      </c>
      <c r="AW10">
        <f t="shared" ref="AW10:AW19" si="7">(AO10+AA10)/36</f>
        <v>0.1111111111111111</v>
      </c>
    </row>
    <row r="11" spans="1:85" x14ac:dyDescent="0.25">
      <c r="A11" t="s">
        <v>68</v>
      </c>
      <c r="B11" t="s">
        <v>100</v>
      </c>
      <c r="C11" t="s">
        <v>100</v>
      </c>
      <c r="D11">
        <v>59</v>
      </c>
      <c r="E11">
        <v>8</v>
      </c>
      <c r="F11" t="s">
        <v>53</v>
      </c>
      <c r="G11">
        <v>0.5</v>
      </c>
      <c r="H11" t="s">
        <v>62</v>
      </c>
      <c r="N11" t="s">
        <v>62</v>
      </c>
      <c r="T11" t="s">
        <v>73</v>
      </c>
      <c r="U11" t="s">
        <v>66</v>
      </c>
      <c r="V11">
        <v>100</v>
      </c>
      <c r="AA11">
        <v>4</v>
      </c>
      <c r="AB11" t="s">
        <v>59</v>
      </c>
      <c r="AE11">
        <f t="shared" si="0"/>
        <v>29.5</v>
      </c>
      <c r="AF11">
        <f t="shared" si="1"/>
        <v>14.75</v>
      </c>
      <c r="AG11">
        <v>2</v>
      </c>
      <c r="AH11">
        <f t="shared" si="2"/>
        <v>29.5</v>
      </c>
      <c r="AI11">
        <f t="shared" si="3"/>
        <v>2</v>
      </c>
      <c r="AP11">
        <v>4</v>
      </c>
      <c r="AR11">
        <f t="shared" si="5"/>
        <v>16</v>
      </c>
      <c r="AT11">
        <f t="shared" si="4"/>
        <v>0.22222222222222221</v>
      </c>
      <c r="AV11">
        <f t="shared" si="6"/>
        <v>1</v>
      </c>
      <c r="AW11">
        <f t="shared" si="7"/>
        <v>0.1111111111111111</v>
      </c>
      <c r="BC11">
        <f>(AN11*K11)/36</f>
        <v>0</v>
      </c>
    </row>
    <row r="12" spans="1:85" x14ac:dyDescent="0.25">
      <c r="A12" t="s">
        <v>68</v>
      </c>
      <c r="B12" t="s">
        <v>101</v>
      </c>
      <c r="C12" t="s">
        <v>101</v>
      </c>
      <c r="D12">
        <v>59</v>
      </c>
      <c r="E12">
        <v>10</v>
      </c>
      <c r="F12" t="s">
        <v>53</v>
      </c>
      <c r="G12">
        <v>0.5</v>
      </c>
      <c r="H12" t="s">
        <v>62</v>
      </c>
      <c r="N12" t="s">
        <v>62</v>
      </c>
      <c r="T12" t="s">
        <v>81</v>
      </c>
      <c r="U12" t="s">
        <v>73</v>
      </c>
      <c r="V12">
        <v>100</v>
      </c>
      <c r="AA12">
        <v>4</v>
      </c>
      <c r="AB12" t="s">
        <v>59</v>
      </c>
      <c r="AE12">
        <f t="shared" si="0"/>
        <v>29.5</v>
      </c>
      <c r="AF12">
        <f t="shared" si="1"/>
        <v>14.75</v>
      </c>
      <c r="AG12">
        <v>2</v>
      </c>
      <c r="AH12">
        <f t="shared" si="2"/>
        <v>29.5</v>
      </c>
      <c r="AI12">
        <f t="shared" si="3"/>
        <v>2</v>
      </c>
      <c r="AO12">
        <v>100</v>
      </c>
      <c r="AP12">
        <v>4</v>
      </c>
      <c r="AR12">
        <f t="shared" si="5"/>
        <v>120</v>
      </c>
      <c r="AT12">
        <f t="shared" si="4"/>
        <v>1.6666666666666667</v>
      </c>
      <c r="AV12">
        <f t="shared" si="6"/>
        <v>6</v>
      </c>
      <c r="AW12">
        <f t="shared" si="7"/>
        <v>2.8888888888888888</v>
      </c>
      <c r="BC12">
        <f>(AI11*D11)/36</f>
        <v>3.2777777777777777</v>
      </c>
    </row>
    <row r="13" spans="1:85" x14ac:dyDescent="0.25">
      <c r="A13" t="s">
        <v>60</v>
      </c>
      <c r="B13" t="s">
        <v>102</v>
      </c>
      <c r="C13" t="s">
        <v>103</v>
      </c>
      <c r="D13">
        <v>56</v>
      </c>
      <c r="E13">
        <v>4</v>
      </c>
      <c r="F13" t="s">
        <v>53</v>
      </c>
      <c r="G13">
        <v>1</v>
      </c>
      <c r="H13" t="s">
        <v>62</v>
      </c>
      <c r="N13" t="s">
        <v>62</v>
      </c>
      <c r="T13" t="s">
        <v>72</v>
      </c>
      <c r="U13" t="s">
        <v>58</v>
      </c>
      <c r="V13">
        <v>100</v>
      </c>
      <c r="AB13" t="s">
        <v>67</v>
      </c>
      <c r="AE13">
        <f t="shared" si="0"/>
        <v>56</v>
      </c>
      <c r="AF13">
        <f t="shared" si="1"/>
        <v>56</v>
      </c>
      <c r="AG13">
        <v>2</v>
      </c>
      <c r="AH13">
        <f t="shared" si="2"/>
        <v>112</v>
      </c>
      <c r="AI13">
        <f t="shared" si="3"/>
        <v>2</v>
      </c>
      <c r="AO13">
        <v>100</v>
      </c>
      <c r="AP13">
        <v>4</v>
      </c>
      <c r="AR13">
        <f t="shared" si="5"/>
        <v>108</v>
      </c>
      <c r="AT13">
        <f t="shared" si="4"/>
        <v>1.5</v>
      </c>
      <c r="AV13">
        <f t="shared" si="6"/>
        <v>6</v>
      </c>
      <c r="AW13">
        <f t="shared" si="7"/>
        <v>2.7777777777777777</v>
      </c>
    </row>
    <row r="14" spans="1:85" x14ac:dyDescent="0.25">
      <c r="A14" t="s">
        <v>60</v>
      </c>
      <c r="B14" t="s">
        <v>102</v>
      </c>
      <c r="C14" t="s">
        <v>103</v>
      </c>
      <c r="D14">
        <v>56</v>
      </c>
      <c r="E14">
        <v>4</v>
      </c>
      <c r="F14" t="s">
        <v>53</v>
      </c>
      <c r="G14">
        <v>1</v>
      </c>
      <c r="H14" t="s">
        <v>62</v>
      </c>
      <c r="N14" t="s">
        <v>62</v>
      </c>
      <c r="T14" t="s">
        <v>72</v>
      </c>
      <c r="U14" t="s">
        <v>58</v>
      </c>
      <c r="V14">
        <v>100</v>
      </c>
      <c r="AA14">
        <v>4</v>
      </c>
      <c r="AB14" t="s">
        <v>67</v>
      </c>
      <c r="AE14">
        <f t="shared" si="0"/>
        <v>56</v>
      </c>
      <c r="AF14">
        <f t="shared" si="1"/>
        <v>56</v>
      </c>
      <c r="AG14">
        <v>2</v>
      </c>
      <c r="AH14">
        <f t="shared" si="2"/>
        <v>112</v>
      </c>
      <c r="AI14">
        <f t="shared" si="3"/>
        <v>2</v>
      </c>
      <c r="AO14">
        <v>100</v>
      </c>
      <c r="AP14">
        <v>4</v>
      </c>
      <c r="AR14">
        <f t="shared" si="5"/>
        <v>116</v>
      </c>
      <c r="AT14">
        <f>(AR14*AI14)/36</f>
        <v>6.4444444444444446</v>
      </c>
      <c r="AV14">
        <f t="shared" si="6"/>
        <v>6</v>
      </c>
      <c r="AW14">
        <f t="shared" si="7"/>
        <v>2.8888888888888888</v>
      </c>
    </row>
    <row r="15" spans="1:85" x14ac:dyDescent="0.25">
      <c r="A15" t="s">
        <v>60</v>
      </c>
      <c r="B15" t="s">
        <v>104</v>
      </c>
      <c r="C15" t="s">
        <v>105</v>
      </c>
      <c r="D15">
        <v>58</v>
      </c>
      <c r="E15">
        <v>4</v>
      </c>
      <c r="F15" t="s">
        <v>53</v>
      </c>
      <c r="G15">
        <v>2</v>
      </c>
      <c r="H15" t="s">
        <v>62</v>
      </c>
      <c r="N15" t="s">
        <v>62</v>
      </c>
      <c r="T15" t="s">
        <v>65</v>
      </c>
      <c r="U15" t="s">
        <v>58</v>
      </c>
      <c r="V15">
        <v>100</v>
      </c>
      <c r="AA15">
        <v>4</v>
      </c>
      <c r="AB15" t="s">
        <v>59</v>
      </c>
      <c r="AE15">
        <f t="shared" si="0"/>
        <v>116</v>
      </c>
      <c r="AF15">
        <f t="shared" si="1"/>
        <v>232</v>
      </c>
      <c r="AG15">
        <v>2.5</v>
      </c>
      <c r="AH15">
        <f t="shared" si="2"/>
        <v>580</v>
      </c>
      <c r="AI15">
        <f t="shared" si="3"/>
        <v>6</v>
      </c>
      <c r="AO15">
        <v>100</v>
      </c>
      <c r="AP15">
        <v>4</v>
      </c>
      <c r="AR15">
        <f t="shared" si="5"/>
        <v>116</v>
      </c>
      <c r="AT15">
        <f t="shared" ref="AT15:AT20" si="8">(AR15/AI15)/36</f>
        <v>0.53703703703703698</v>
      </c>
      <c r="AV15">
        <f t="shared" si="6"/>
        <v>6</v>
      </c>
      <c r="AW15">
        <f t="shared" si="7"/>
        <v>2.8888888888888888</v>
      </c>
    </row>
    <row r="16" spans="1:85" x14ac:dyDescent="0.25">
      <c r="A16" t="s">
        <v>60</v>
      </c>
      <c r="B16" t="s">
        <v>104</v>
      </c>
      <c r="C16" t="s">
        <v>105</v>
      </c>
      <c r="D16">
        <v>58</v>
      </c>
      <c r="E16">
        <v>4</v>
      </c>
      <c r="F16" t="s">
        <v>53</v>
      </c>
      <c r="G16">
        <v>1</v>
      </c>
      <c r="H16" t="s">
        <v>62</v>
      </c>
      <c r="N16" t="s">
        <v>62</v>
      </c>
      <c r="T16" t="s">
        <v>65</v>
      </c>
      <c r="U16" t="s">
        <v>58</v>
      </c>
      <c r="V16">
        <v>100</v>
      </c>
      <c r="AA16">
        <v>4</v>
      </c>
      <c r="AB16" t="s">
        <v>59</v>
      </c>
      <c r="AE16">
        <f t="shared" si="0"/>
        <v>58</v>
      </c>
      <c r="AF16">
        <f t="shared" si="1"/>
        <v>58</v>
      </c>
      <c r="AG16">
        <v>3</v>
      </c>
      <c r="AH16">
        <f t="shared" si="2"/>
        <v>174</v>
      </c>
      <c r="AI16">
        <f t="shared" si="3"/>
        <v>4</v>
      </c>
      <c r="AO16">
        <v>100</v>
      </c>
      <c r="AP16">
        <v>4</v>
      </c>
      <c r="AR16">
        <f t="shared" si="5"/>
        <v>116</v>
      </c>
      <c r="AT16">
        <f t="shared" si="8"/>
        <v>0.80555555555555558</v>
      </c>
      <c r="AV16">
        <f t="shared" si="6"/>
        <v>6</v>
      </c>
      <c r="AW16">
        <f t="shared" si="7"/>
        <v>2.8888888888888888</v>
      </c>
    </row>
    <row r="17" spans="1:50" x14ac:dyDescent="0.25">
      <c r="A17" t="s">
        <v>79</v>
      </c>
      <c r="B17" t="s">
        <v>106</v>
      </c>
      <c r="C17" t="s">
        <v>103</v>
      </c>
      <c r="D17">
        <v>59</v>
      </c>
      <c r="E17">
        <v>7</v>
      </c>
      <c r="F17" t="s">
        <v>53</v>
      </c>
      <c r="G17">
        <v>1</v>
      </c>
      <c r="H17" t="s">
        <v>62</v>
      </c>
      <c r="N17" t="s">
        <v>62</v>
      </c>
      <c r="T17" t="s">
        <v>65</v>
      </c>
      <c r="U17" t="s">
        <v>66</v>
      </c>
      <c r="V17">
        <v>100</v>
      </c>
      <c r="AA17">
        <v>4</v>
      </c>
      <c r="AB17" t="s">
        <v>59</v>
      </c>
      <c r="AE17">
        <f t="shared" si="0"/>
        <v>59</v>
      </c>
      <c r="AF17">
        <f t="shared" si="1"/>
        <v>59</v>
      </c>
      <c r="AG17">
        <v>2</v>
      </c>
      <c r="AH17">
        <f t="shared" si="2"/>
        <v>118</v>
      </c>
      <c r="AI17">
        <f t="shared" si="3"/>
        <v>3</v>
      </c>
      <c r="AO17">
        <v>100</v>
      </c>
      <c r="AP17">
        <v>4</v>
      </c>
      <c r="AR17">
        <f t="shared" si="5"/>
        <v>119</v>
      </c>
      <c r="AT17">
        <f t="shared" si="8"/>
        <v>1.1018518518518519</v>
      </c>
      <c r="AV17">
        <f t="shared" si="6"/>
        <v>6</v>
      </c>
      <c r="AW17">
        <f t="shared" si="7"/>
        <v>2.8888888888888888</v>
      </c>
    </row>
    <row r="18" spans="1:50" x14ac:dyDescent="0.25">
      <c r="A18" t="s">
        <v>79</v>
      </c>
      <c r="B18" t="s">
        <v>106</v>
      </c>
      <c r="C18" t="s">
        <v>103</v>
      </c>
      <c r="D18">
        <v>59</v>
      </c>
      <c r="E18">
        <v>7</v>
      </c>
      <c r="F18" t="s">
        <v>53</v>
      </c>
      <c r="G18">
        <v>1</v>
      </c>
      <c r="H18" t="s">
        <v>62</v>
      </c>
      <c r="N18" t="s">
        <v>62</v>
      </c>
      <c r="T18" t="s">
        <v>65</v>
      </c>
      <c r="U18" t="s">
        <v>66</v>
      </c>
      <c r="V18">
        <v>100</v>
      </c>
      <c r="AA18">
        <v>4</v>
      </c>
      <c r="AB18" t="s">
        <v>59</v>
      </c>
      <c r="AE18">
        <f t="shared" si="0"/>
        <v>59</v>
      </c>
      <c r="AF18">
        <f t="shared" si="1"/>
        <v>59</v>
      </c>
      <c r="AG18">
        <v>2.5</v>
      </c>
      <c r="AH18">
        <f t="shared" si="2"/>
        <v>147.5</v>
      </c>
      <c r="AI18">
        <f t="shared" si="3"/>
        <v>3</v>
      </c>
      <c r="AO18">
        <v>100</v>
      </c>
      <c r="AP18">
        <v>4</v>
      </c>
      <c r="AR18">
        <f t="shared" si="5"/>
        <v>119</v>
      </c>
      <c r="AT18">
        <f t="shared" si="8"/>
        <v>1.1018518518518519</v>
      </c>
      <c r="AV18">
        <f t="shared" si="6"/>
        <v>6</v>
      </c>
      <c r="AW18">
        <f t="shared" si="7"/>
        <v>2.8888888888888888</v>
      </c>
    </row>
    <row r="19" spans="1:50" x14ac:dyDescent="0.25">
      <c r="A19" t="s">
        <v>79</v>
      </c>
      <c r="B19" t="s">
        <v>106</v>
      </c>
      <c r="C19" t="s">
        <v>103</v>
      </c>
      <c r="D19">
        <v>59</v>
      </c>
      <c r="E19">
        <v>7</v>
      </c>
      <c r="F19" t="s">
        <v>53</v>
      </c>
      <c r="G19">
        <v>0.5</v>
      </c>
      <c r="H19" t="s">
        <v>62</v>
      </c>
      <c r="N19" t="s">
        <v>62</v>
      </c>
      <c r="T19" t="s">
        <v>65</v>
      </c>
      <c r="U19" t="s">
        <v>66</v>
      </c>
      <c r="V19">
        <v>100</v>
      </c>
      <c r="AA19">
        <v>4</v>
      </c>
      <c r="AB19" t="s">
        <v>59</v>
      </c>
      <c r="AC19">
        <v>4</v>
      </c>
      <c r="AD19">
        <v>5</v>
      </c>
      <c r="AE19">
        <f t="shared" si="0"/>
        <v>29.5</v>
      </c>
      <c r="AF19">
        <f>(V19*(AE19))/100</f>
        <v>29.5</v>
      </c>
      <c r="AG19">
        <v>3</v>
      </c>
      <c r="AH19">
        <f t="shared" si="2"/>
        <v>88.5</v>
      </c>
      <c r="AI19">
        <f t="shared" si="3"/>
        <v>4</v>
      </c>
      <c r="AO19">
        <v>100</v>
      </c>
      <c r="AP19">
        <v>4</v>
      </c>
      <c r="AR19">
        <f t="shared" si="5"/>
        <v>119</v>
      </c>
      <c r="AT19">
        <f t="shared" si="8"/>
        <v>0.82638888888888884</v>
      </c>
      <c r="AV19">
        <f t="shared" si="6"/>
        <v>6</v>
      </c>
      <c r="AW19">
        <f t="shared" si="7"/>
        <v>2.8888888888888888</v>
      </c>
    </row>
    <row r="20" spans="1:50" x14ac:dyDescent="0.25">
      <c r="A20" t="s">
        <v>75</v>
      </c>
      <c r="B20" t="s">
        <v>107</v>
      </c>
      <c r="C20" t="s">
        <v>107</v>
      </c>
      <c r="D20">
        <v>56</v>
      </c>
      <c r="E20">
        <v>11</v>
      </c>
      <c r="F20" t="s">
        <v>69</v>
      </c>
      <c r="G20">
        <v>0.5</v>
      </c>
      <c r="H20" t="s">
        <v>91</v>
      </c>
      <c r="I20" t="s">
        <v>107</v>
      </c>
      <c r="J20" t="s">
        <v>107</v>
      </c>
      <c r="K20">
        <v>57</v>
      </c>
      <c r="L20">
        <v>11</v>
      </c>
      <c r="M20">
        <v>0.5</v>
      </c>
      <c r="N20" t="s">
        <v>63</v>
      </c>
      <c r="T20" t="s">
        <v>72</v>
      </c>
      <c r="U20" t="s">
        <v>73</v>
      </c>
      <c r="V20">
        <v>100</v>
      </c>
      <c r="W20">
        <v>6</v>
      </c>
      <c r="X20">
        <v>8</v>
      </c>
      <c r="Y20">
        <v>110</v>
      </c>
      <c r="Z20">
        <f>Y20-X20</f>
        <v>102</v>
      </c>
      <c r="AA20">
        <v>4</v>
      </c>
      <c r="AB20" t="s">
        <v>59</v>
      </c>
      <c r="AE20">
        <f t="shared" ref="AE20:AE26" si="9">G20*D20</f>
        <v>28</v>
      </c>
      <c r="AF20">
        <f>(V20*(AE20))/100</f>
        <v>28</v>
      </c>
      <c r="AG20">
        <v>2</v>
      </c>
      <c r="AH20">
        <f t="shared" ref="AH20:AH26" si="10">AG20*AF20</f>
        <v>56</v>
      </c>
      <c r="AI20">
        <f>IF(AB20="Center open",ROUNDUP(INT((AH20/AE20))+VLOOKUP((AH20/3)-INT(AH20/AE20),$CF$1:$CG$4,2),0),INT((AH20/AE20))+VLOOKUP((AH20/AE20)-INT(AH20/AE20),$CF$1:$CG$4,2))</f>
        <v>3</v>
      </c>
      <c r="AJ20">
        <f>(V20*(AM20))/100</f>
        <v>28.5</v>
      </c>
      <c r="AK20">
        <v>2</v>
      </c>
      <c r="AL20">
        <f t="shared" ref="AL20:AL25" si="11">AK20*AJ20</f>
        <v>57</v>
      </c>
      <c r="AM20">
        <f t="shared" ref="AM20:AM25" si="12">M20*K20</f>
        <v>28.5</v>
      </c>
      <c r="AN20">
        <f>IF(AB20="Center open",ROUNDUP(INT((AL20/AM20))+VLOOKUP((AL20/3)-INT(AL20/AM20),$CF$1:$CG$4,2),0),INT((AL20/AM20))+VLOOKUP((AL20/AM20)-INT(AL20/AM20),$CF$1:$CG$4,2))</f>
        <v>3</v>
      </c>
      <c r="AP20">
        <v>4</v>
      </c>
      <c r="AR20">
        <f>(ROUNDUP((Y20+(AA20+AP20)*2)/E20,0)*E20)</f>
        <v>132</v>
      </c>
      <c r="AS20">
        <f>(ROUNDUP((Y20+(AA20+AP20)*2)/L20,0)*L20)</f>
        <v>132</v>
      </c>
      <c r="AT20">
        <f t="shared" si="8"/>
        <v>1.2222222222222223</v>
      </c>
      <c r="AU20">
        <f>(AS20/AN20)/36</f>
        <v>1.2222222222222223</v>
      </c>
      <c r="AV20">
        <f>ROUNDUP((Y20+AP20+AA20)*2/36,0)</f>
        <v>7</v>
      </c>
      <c r="AW20">
        <f>(Y20+AA20)/36</f>
        <v>3.1666666666666665</v>
      </c>
      <c r="AX20" t="s">
        <v>108</v>
      </c>
    </row>
    <row r="21" spans="1:50" x14ac:dyDescent="0.25">
      <c r="A21" t="s">
        <v>75</v>
      </c>
      <c r="B21" t="s">
        <v>109</v>
      </c>
      <c r="C21" t="s">
        <v>109</v>
      </c>
      <c r="D21">
        <v>59</v>
      </c>
      <c r="E21">
        <v>10</v>
      </c>
      <c r="F21" t="s">
        <v>53</v>
      </c>
      <c r="G21">
        <v>0.6</v>
      </c>
      <c r="H21" t="s">
        <v>91</v>
      </c>
      <c r="I21" t="s">
        <v>109</v>
      </c>
      <c r="J21" t="s">
        <v>109</v>
      </c>
      <c r="K21">
        <v>59</v>
      </c>
      <c r="L21">
        <v>10</v>
      </c>
      <c r="M21">
        <v>0.4</v>
      </c>
      <c r="N21" t="s">
        <v>63</v>
      </c>
      <c r="T21" t="s">
        <v>78</v>
      </c>
      <c r="U21" t="s">
        <v>73</v>
      </c>
      <c r="V21">
        <v>100</v>
      </c>
      <c r="AA21">
        <v>4</v>
      </c>
      <c r="AB21" t="s">
        <v>59</v>
      </c>
      <c r="AE21">
        <f t="shared" si="9"/>
        <v>35.4</v>
      </c>
      <c r="AF21">
        <f>(V21*(AE21))/100</f>
        <v>35.4</v>
      </c>
      <c r="AG21">
        <v>2</v>
      </c>
      <c r="AH21">
        <f t="shared" si="10"/>
        <v>70.8</v>
      </c>
      <c r="AI21">
        <f>IF(AB21="Center open",ROUNDUP(INT((AH21/AE21))+VLOOKUP((AH21/3)-INT(AH21/AE21),$CF$1:$CG$4,2),0),INT((AH21/AE21))+VLOOKUP((AH21/AE21)-INT(AH21/AE21),$CF$1:$CG$4,2))</f>
        <v>3</v>
      </c>
      <c r="AJ21">
        <f>(V21*(AM21))/100</f>
        <v>23.6</v>
      </c>
      <c r="AK21">
        <v>3</v>
      </c>
      <c r="AL21">
        <f t="shared" si="11"/>
        <v>70.800000000000011</v>
      </c>
      <c r="AM21">
        <f t="shared" si="12"/>
        <v>23.6</v>
      </c>
      <c r="AN21">
        <f>IF(AB21="Center open",ROUNDUP(INT((AL21/AM21))+VLOOKUP((AL21/3)-INT(AL21/AM21),$CF$1:$CG$4,2),0),INT((AL21/AM21))+VLOOKUP((AL21/AM21)-INT(AL21/AM21),$CF$1:$CG$4,2))</f>
        <v>4</v>
      </c>
      <c r="AO21">
        <v>100</v>
      </c>
      <c r="AP21">
        <v>4</v>
      </c>
      <c r="AR21">
        <f>(ROUNDUP((AO21+(AA21+AP21)*2)/E21,0)*E21)</f>
        <v>120</v>
      </c>
      <c r="AS21">
        <f>(ROUNDUP((AO21+(AA21+AP21)*2)/L21,0)*L21)</f>
        <v>120</v>
      </c>
      <c r="AT21">
        <f>(AR21*AI21)/36</f>
        <v>10</v>
      </c>
      <c r="AU21">
        <f>(AS21*AN21)/36</f>
        <v>13.333333333333334</v>
      </c>
      <c r="AV21">
        <f>ROUNDUP((AO21+AP21+AA21)*2/36,0)</f>
        <v>6</v>
      </c>
      <c r="AW21">
        <f>(AO21+AA21)/36</f>
        <v>2.8888888888888888</v>
      </c>
      <c r="AX21" t="s">
        <v>110</v>
      </c>
    </row>
    <row r="22" spans="1:50" x14ac:dyDescent="0.25">
      <c r="A22" t="s">
        <v>75</v>
      </c>
      <c r="B22" t="s">
        <v>109</v>
      </c>
      <c r="C22" t="s">
        <v>109</v>
      </c>
      <c r="D22">
        <v>59</v>
      </c>
      <c r="E22">
        <v>10</v>
      </c>
      <c r="F22" t="s">
        <v>53</v>
      </c>
      <c r="G22">
        <v>0.6</v>
      </c>
      <c r="H22" t="s">
        <v>91</v>
      </c>
      <c r="I22" t="s">
        <v>109</v>
      </c>
      <c r="J22" t="s">
        <v>109</v>
      </c>
      <c r="K22">
        <v>59</v>
      </c>
      <c r="L22">
        <v>10</v>
      </c>
      <c r="M22">
        <v>0.4</v>
      </c>
      <c r="N22" t="s">
        <v>63</v>
      </c>
      <c r="T22" t="s">
        <v>78</v>
      </c>
      <c r="U22" t="s">
        <v>73</v>
      </c>
      <c r="V22">
        <v>100</v>
      </c>
      <c r="AA22">
        <v>4</v>
      </c>
      <c r="AB22" t="s">
        <v>59</v>
      </c>
      <c r="AE22">
        <f t="shared" si="9"/>
        <v>35.4</v>
      </c>
      <c r="AF22">
        <f>G22*V22</f>
        <v>60</v>
      </c>
      <c r="AG22">
        <v>3</v>
      </c>
      <c r="AH22">
        <f t="shared" si="10"/>
        <v>180</v>
      </c>
      <c r="AI22">
        <f>TRUNC(((AF22*AG22)/D22))+ROUNDUP(VLOOKUP(((AF22*AG22)/D22)-TRUNC(((AF22*AG22)/D22)),CF1:CG4,2),0)</f>
        <v>3</v>
      </c>
      <c r="AJ22">
        <f>V22*M22</f>
        <v>40</v>
      </c>
      <c r="AK22">
        <v>3</v>
      </c>
      <c r="AL22">
        <f t="shared" si="11"/>
        <v>120</v>
      </c>
      <c r="AM22">
        <f t="shared" si="12"/>
        <v>23.6</v>
      </c>
      <c r="AN22">
        <f>TRUNC(((AJ22*AK22)/K22))+ROUNDUP(VLOOKUP(((AJ22*AK22)/K22)-TRUNC(((AJ22*AK22)/K22)),CF1:CG4,2),0)</f>
        <v>2</v>
      </c>
      <c r="AO22">
        <v>100</v>
      </c>
      <c r="AP22">
        <v>4</v>
      </c>
      <c r="AR22">
        <f>(ROUNDUP((AO22+(AA22+AP22)*2)/E22,0)*E22)</f>
        <v>120</v>
      </c>
      <c r="AS22">
        <f>(ROUNDUP((AO22+(AA22+AP22)*2)/L22,0)*L22)</f>
        <v>120</v>
      </c>
      <c r="AT22">
        <f>(AR22*AI22)/36</f>
        <v>10</v>
      </c>
      <c r="AU22">
        <f>(AS22*AN22)/36</f>
        <v>6.666666666666667</v>
      </c>
      <c r="AV22">
        <f>ROUNDUP((AO22+AP22+AA22)*2/36,0)</f>
        <v>6</v>
      </c>
      <c r="AW22">
        <f>(AO22+AA22)/36</f>
        <v>2.8888888888888888</v>
      </c>
      <c r="AX22" t="s">
        <v>110</v>
      </c>
    </row>
    <row r="23" spans="1:50" x14ac:dyDescent="0.25">
      <c r="A23" t="s">
        <v>68</v>
      </c>
      <c r="B23" t="s">
        <v>111</v>
      </c>
      <c r="C23" t="s">
        <v>111</v>
      </c>
      <c r="D23">
        <v>58</v>
      </c>
      <c r="E23">
        <v>8</v>
      </c>
      <c r="F23" t="s">
        <v>53</v>
      </c>
      <c r="G23">
        <v>0.45</v>
      </c>
      <c r="H23" t="s">
        <v>91</v>
      </c>
      <c r="I23" t="s">
        <v>111</v>
      </c>
      <c r="J23" t="s">
        <v>111</v>
      </c>
      <c r="K23">
        <v>58</v>
      </c>
      <c r="L23">
        <v>8</v>
      </c>
      <c r="M23">
        <v>0.55000000000000004</v>
      </c>
      <c r="N23" t="s">
        <v>70</v>
      </c>
      <c r="T23" t="s">
        <v>72</v>
      </c>
      <c r="U23" t="s">
        <v>73</v>
      </c>
      <c r="V23">
        <v>100</v>
      </c>
      <c r="AA23">
        <v>4</v>
      </c>
      <c r="AB23" t="s">
        <v>59</v>
      </c>
      <c r="AE23">
        <f t="shared" si="9"/>
        <v>26.1</v>
      </c>
      <c r="AF23">
        <f>G23*V23</f>
        <v>45</v>
      </c>
      <c r="AG23">
        <v>3</v>
      </c>
      <c r="AH23">
        <f t="shared" si="10"/>
        <v>135</v>
      </c>
      <c r="AI23">
        <f>TRUNC(((AF23*AG23)/D23))+ROUNDUP(VLOOKUP(((AF23*AG23)/D23)-TRUNC(((AF23*AG23)/D23)),CF1:CG4,2),0)</f>
        <v>3</v>
      </c>
      <c r="AJ23">
        <f>M23*V23</f>
        <v>55.000000000000007</v>
      </c>
      <c r="AK23">
        <v>2.5</v>
      </c>
      <c r="AL23">
        <f t="shared" si="11"/>
        <v>137.50000000000003</v>
      </c>
      <c r="AM23">
        <f t="shared" si="12"/>
        <v>31.900000000000002</v>
      </c>
      <c r="AN23">
        <f>TRUNC(((AJ23*AK23)/K23))+ROUNDUP(VLOOKUP(((AJ23*AK23)/K23)-TRUNC(((AJ23*AK23)/K23)),CF1:CG4,2),0)</f>
        <v>3</v>
      </c>
      <c r="AO23">
        <v>100</v>
      </c>
      <c r="AP23">
        <v>4</v>
      </c>
      <c r="AR23">
        <f>(ROUNDUP((AO23+(AA23+AP23)*2)/E23,0)*E23)</f>
        <v>120</v>
      </c>
      <c r="AS23">
        <f>(ROUNDUP((AO23+(AA23+AP23)*2)/L23,0)*L23)</f>
        <v>120</v>
      </c>
      <c r="AT23">
        <f>(AR23*AI23)/36</f>
        <v>10</v>
      </c>
      <c r="AU23">
        <f>(AS23*AN23)/36</f>
        <v>10</v>
      </c>
      <c r="AV23">
        <f>ROUNDUP((AO23+AP23+AA23)*2/36,0)</f>
        <v>6</v>
      </c>
      <c r="AW23">
        <f>(AO23+AA23)/36</f>
        <v>2.8888888888888888</v>
      </c>
      <c r="AX23" t="s">
        <v>108</v>
      </c>
    </row>
    <row r="24" spans="1:50" x14ac:dyDescent="0.25">
      <c r="A24" t="s">
        <v>68</v>
      </c>
      <c r="B24" t="s">
        <v>112</v>
      </c>
      <c r="C24" t="s">
        <v>112</v>
      </c>
      <c r="D24">
        <v>58</v>
      </c>
      <c r="E24">
        <v>8</v>
      </c>
      <c r="F24" t="s">
        <v>83</v>
      </c>
      <c r="G24">
        <v>0.45</v>
      </c>
      <c r="H24" t="s">
        <v>91</v>
      </c>
      <c r="I24" t="s">
        <v>112</v>
      </c>
      <c r="J24" t="s">
        <v>112</v>
      </c>
      <c r="K24">
        <v>58</v>
      </c>
      <c r="L24">
        <v>8</v>
      </c>
      <c r="M24">
        <v>0.55000000000000004</v>
      </c>
      <c r="N24" t="s">
        <v>70</v>
      </c>
      <c r="T24" t="s">
        <v>72</v>
      </c>
      <c r="U24" t="s">
        <v>73</v>
      </c>
      <c r="V24">
        <v>100</v>
      </c>
      <c r="AB24" t="s">
        <v>59</v>
      </c>
      <c r="AC24">
        <v>4</v>
      </c>
      <c r="AD24">
        <v>4</v>
      </c>
      <c r="AE24">
        <f t="shared" si="9"/>
        <v>26.1</v>
      </c>
      <c r="AF24">
        <f>IF(AB24="Center Open",(AE24)+(AC24+AD24)*2,(AE24)+(AC24+AD24))</f>
        <v>42.1</v>
      </c>
      <c r="AG24">
        <v>3</v>
      </c>
      <c r="AH24">
        <f t="shared" si="10"/>
        <v>126.30000000000001</v>
      </c>
      <c r="AI24">
        <f>TRUNC(((AF24*AG24)/D24))+ROUNDUP(VLOOKUP(((AF24*AG24)/D24)-TRUNC(((AF24*AG24)/D24)),CF1:CG4,2),0)</f>
        <v>2</v>
      </c>
      <c r="AJ24">
        <f>IF(AB24="Center Open",(AM24)+(AC24+AD24)*2,(AM24)+(AC24+AD24))</f>
        <v>47.900000000000006</v>
      </c>
      <c r="AK24">
        <v>2.5</v>
      </c>
      <c r="AL24">
        <f t="shared" si="11"/>
        <v>119.75000000000001</v>
      </c>
      <c r="AM24">
        <f t="shared" si="12"/>
        <v>31.900000000000002</v>
      </c>
      <c r="AN24">
        <f>TRUNC(((AJ24*AK24)/K24))+ROUNDUP(VLOOKUP(((AJ24*AK24)/K24)-TRUNC(((AJ24*AK24)/K24)),CF1:CG4,2),0)</f>
        <v>2</v>
      </c>
      <c r="AO24">
        <v>100</v>
      </c>
      <c r="AP24">
        <v>4</v>
      </c>
      <c r="AR24">
        <f>(ROUNDUP((AO24+(AQ24+AP24)*2)/E24,0)*E24)</f>
        <v>112</v>
      </c>
      <c r="AS24">
        <f>(ROUNDUP((AO24+(AQ24+AP24)*2)/L24,0)*L24)</f>
        <v>112</v>
      </c>
      <c r="AT24">
        <f>(AR24*AI24)/36</f>
        <v>6.2222222222222223</v>
      </c>
      <c r="AU24">
        <f>(AS24*AN24)/36</f>
        <v>6.2222222222222223</v>
      </c>
      <c r="AV24">
        <f>ROUNDUP((AO24+AP24+AQ24)*2/36,0)</f>
        <v>6</v>
      </c>
      <c r="AW24">
        <f>(AO24+AQ24)/36</f>
        <v>2.7777777777777777</v>
      </c>
      <c r="AX24" t="s">
        <v>108</v>
      </c>
    </row>
    <row r="25" spans="1:50" x14ac:dyDescent="0.25">
      <c r="A25" t="s">
        <v>68</v>
      </c>
      <c r="B25" t="s">
        <v>112</v>
      </c>
      <c r="C25" t="s">
        <v>112</v>
      </c>
      <c r="D25">
        <v>58</v>
      </c>
      <c r="E25">
        <v>8</v>
      </c>
      <c r="F25" t="s">
        <v>83</v>
      </c>
      <c r="G25">
        <v>0.45</v>
      </c>
      <c r="H25" t="s">
        <v>91</v>
      </c>
      <c r="I25" t="s">
        <v>112</v>
      </c>
      <c r="J25" t="s">
        <v>112</v>
      </c>
      <c r="K25">
        <v>58</v>
      </c>
      <c r="L25">
        <v>8</v>
      </c>
      <c r="M25">
        <v>0.55000000000000004</v>
      </c>
      <c r="N25" t="s">
        <v>70</v>
      </c>
      <c r="T25" t="s">
        <v>72</v>
      </c>
      <c r="U25" t="s">
        <v>73</v>
      </c>
      <c r="V25">
        <v>100</v>
      </c>
      <c r="AB25" t="s">
        <v>59</v>
      </c>
      <c r="AC25">
        <v>4</v>
      </c>
      <c r="AD25">
        <v>4</v>
      </c>
      <c r="AE25">
        <f t="shared" si="9"/>
        <v>26.1</v>
      </c>
      <c r="AF25">
        <f>IF(AB25="Center Open",(AE25)+(AC25+AD25)*2,(AE25)+(AC25+AD25))</f>
        <v>42.1</v>
      </c>
      <c r="AG25">
        <v>3</v>
      </c>
      <c r="AH25">
        <f t="shared" si="10"/>
        <v>126.30000000000001</v>
      </c>
      <c r="AI25">
        <f>TRUNC(((AF25*AG25)/D25))+ROUNDUP(VLOOKUP(((AF25*AG25)/D25)-TRUNC(((AF25*AG25)/D25)),CF1:CG4,2),0)</f>
        <v>2</v>
      </c>
      <c r="AJ25">
        <f>IF(AB25="Center Open",(AM25)+(AC25+AD25)*2,(AM25)+(AC25+AD25))</f>
        <v>47.900000000000006</v>
      </c>
      <c r="AK25">
        <v>2.5</v>
      </c>
      <c r="AL25">
        <f t="shared" si="11"/>
        <v>119.75000000000001</v>
      </c>
      <c r="AM25">
        <f t="shared" si="12"/>
        <v>31.900000000000002</v>
      </c>
      <c r="AN25">
        <f>TRUNC(((AJ25*AK25)/K25))+ROUNDUP(VLOOKUP(((AJ25*AK25)/K25)-TRUNC(((AJ25*AK25)/K25)),CF1:CG4,2),0)</f>
        <v>2</v>
      </c>
      <c r="AO25">
        <v>100</v>
      </c>
      <c r="AP25">
        <v>4</v>
      </c>
      <c r="AQ25">
        <v>3.5</v>
      </c>
      <c r="AR25">
        <f>(ROUNDUP((AO25+(AQ25+AP25)*2)/E25,0)*E25)</f>
        <v>120</v>
      </c>
      <c r="AS25">
        <f>(ROUNDUP((AO25+(AQ25+AP25)*2)/L25,0)*L25)</f>
        <v>120</v>
      </c>
      <c r="AT25">
        <f>ROUNDUP((AR25*AI25)/36,1)</f>
        <v>6.6999999999999993</v>
      </c>
      <c r="AU25">
        <f>(AS25*AN25)/36</f>
        <v>6.666666666666667</v>
      </c>
      <c r="AV25">
        <f>ROUNDUP((AO25+AP25+AQ25)*2/36,0)</f>
        <v>6</v>
      </c>
      <c r="AW25">
        <f>(AO25+AQ25)/36</f>
        <v>2.875</v>
      </c>
      <c r="AX25" t="s">
        <v>108</v>
      </c>
    </row>
    <row r="26" spans="1:50" x14ac:dyDescent="0.25">
      <c r="A26" t="s">
        <v>68</v>
      </c>
      <c r="B26" t="s">
        <v>113</v>
      </c>
      <c r="C26" t="s">
        <v>113</v>
      </c>
      <c r="D26">
        <v>59</v>
      </c>
      <c r="E26">
        <v>10</v>
      </c>
      <c r="F26" t="s">
        <v>53</v>
      </c>
      <c r="G26">
        <v>1</v>
      </c>
      <c r="H26" t="s">
        <v>62</v>
      </c>
      <c r="N26" t="s">
        <v>62</v>
      </c>
      <c r="T26" t="s">
        <v>72</v>
      </c>
      <c r="U26" t="s">
        <v>66</v>
      </c>
      <c r="V26">
        <v>100</v>
      </c>
      <c r="AA26">
        <v>4</v>
      </c>
      <c r="AB26" t="s">
        <v>59</v>
      </c>
      <c r="AE26">
        <f t="shared" si="9"/>
        <v>59</v>
      </c>
      <c r="AF26">
        <f>G26*V26</f>
        <v>100</v>
      </c>
      <c r="AG26">
        <v>3</v>
      </c>
      <c r="AH26">
        <f t="shared" si="10"/>
        <v>300</v>
      </c>
      <c r="AI26">
        <f>TRUNC(((AF26*AG26)/D26))+ROUNDUP(VLOOKUP(((AF26*AG26)/D26)-TRUNC(((AF26*AG26)/D26)),CF1:CG4,2),0)</f>
        <v>5</v>
      </c>
      <c r="AO26">
        <v>100</v>
      </c>
      <c r="AP26">
        <v>4</v>
      </c>
      <c r="AR26">
        <f>(ROUNDUP((AO26+(AA26+AP26)*2)/E26,0)*E26)</f>
        <v>120</v>
      </c>
      <c r="AT26">
        <f>ROUNDUP((AR26*AI26)/36,1)</f>
        <v>16.700000000000003</v>
      </c>
      <c r="AV26">
        <f>ROUNDUP((AO26+AP26+AA26)*2/36,0)</f>
        <v>6</v>
      </c>
      <c r="AW26">
        <f>(AO26+AA26)/36</f>
        <v>2.8888888888888888</v>
      </c>
    </row>
    <row r="35" spans="1:54" x14ac:dyDescent="0.25">
      <c r="A35">
        <v>1</v>
      </c>
      <c r="B35">
        <v>2</v>
      </c>
      <c r="C35">
        <v>3</v>
      </c>
      <c r="D35">
        <v>4</v>
      </c>
      <c r="E35">
        <v>5</v>
      </c>
      <c r="F35">
        <v>6</v>
      </c>
      <c r="G35">
        <v>7</v>
      </c>
      <c r="H35">
        <v>8</v>
      </c>
      <c r="I35">
        <v>9</v>
      </c>
      <c r="J35">
        <v>10</v>
      </c>
      <c r="K35">
        <v>11</v>
      </c>
      <c r="L35">
        <v>12</v>
      </c>
      <c r="M35">
        <v>13</v>
      </c>
      <c r="N35">
        <v>14</v>
      </c>
      <c r="O35">
        <v>15</v>
      </c>
      <c r="P35">
        <v>16</v>
      </c>
      <c r="Q35">
        <v>17</v>
      </c>
      <c r="R35">
        <v>18</v>
      </c>
      <c r="S35">
        <v>19</v>
      </c>
      <c r="T35">
        <v>20</v>
      </c>
      <c r="U35">
        <v>21</v>
      </c>
      <c r="V35">
        <v>22</v>
      </c>
      <c r="W35">
        <v>23</v>
      </c>
      <c r="X35">
        <v>24</v>
      </c>
      <c r="Y35">
        <v>25</v>
      </c>
      <c r="Z35">
        <v>26</v>
      </c>
      <c r="AA35">
        <v>27</v>
      </c>
      <c r="AB35">
        <v>28</v>
      </c>
      <c r="AC35">
        <v>29</v>
      </c>
      <c r="AD35">
        <v>30</v>
      </c>
      <c r="AE35">
        <v>31</v>
      </c>
      <c r="AF35">
        <v>32</v>
      </c>
      <c r="AG35">
        <v>33</v>
      </c>
      <c r="AH35">
        <v>34</v>
      </c>
      <c r="AI35">
        <v>35</v>
      </c>
      <c r="AJ35">
        <v>36</v>
      </c>
      <c r="AK35">
        <v>37</v>
      </c>
      <c r="AL35">
        <v>38</v>
      </c>
      <c r="AM35">
        <v>39</v>
      </c>
      <c r="AN35">
        <v>40</v>
      </c>
      <c r="AO35">
        <v>41</v>
      </c>
      <c r="AP35">
        <v>42</v>
      </c>
      <c r="AQ35">
        <v>43</v>
      </c>
      <c r="AR35">
        <v>44</v>
      </c>
      <c r="AS35">
        <v>45</v>
      </c>
      <c r="AT35">
        <v>46</v>
      </c>
      <c r="AU35">
        <v>47</v>
      </c>
      <c r="AV35">
        <v>48</v>
      </c>
      <c r="AW35">
        <v>49</v>
      </c>
      <c r="AX35">
        <v>50</v>
      </c>
      <c r="AY35">
        <v>51</v>
      </c>
      <c r="AZ35">
        <v>52</v>
      </c>
      <c r="BA35">
        <v>53</v>
      </c>
      <c r="BB35">
        <v>54</v>
      </c>
    </row>
    <row r="36" spans="1:54" x14ac:dyDescent="0.25">
      <c r="A36" t="s">
        <v>75</v>
      </c>
      <c r="B36" t="s">
        <v>123</v>
      </c>
      <c r="C36" t="s">
        <v>123</v>
      </c>
      <c r="D36">
        <v>57</v>
      </c>
      <c r="E36">
        <v>3</v>
      </c>
      <c r="F36" t="s">
        <v>76</v>
      </c>
      <c r="G36">
        <v>1</v>
      </c>
      <c r="H36" t="s">
        <v>62</v>
      </c>
      <c r="N36" t="s">
        <v>62</v>
      </c>
      <c r="T36" t="s">
        <v>72</v>
      </c>
      <c r="U36" t="s">
        <v>73</v>
      </c>
      <c r="V36">
        <v>100</v>
      </c>
      <c r="AB36" t="s">
        <v>59</v>
      </c>
      <c r="AE36">
        <f t="shared" ref="AE36:AE45" si="13">G36*D36</f>
        <v>57</v>
      </c>
      <c r="AF36">
        <f>G36*V36</f>
        <v>100</v>
      </c>
      <c r="AG36">
        <v>3.5</v>
      </c>
      <c r="AH36">
        <f t="shared" ref="AH36:AH45" si="14">AG36*AF36</f>
        <v>350</v>
      </c>
      <c r="AI36">
        <f>TRUNC(((AF36*AG36)/D36))+ROUNDUP(VLOOKUP(((AF36*AG36)/D36)-TRUNC(((AF36*AG36)/D36)),CF1:CG4,2),0)</f>
        <v>6</v>
      </c>
      <c r="AO36">
        <v>100</v>
      </c>
      <c r="AP36">
        <v>4</v>
      </c>
      <c r="AQ36">
        <v>4</v>
      </c>
      <c r="AR36">
        <f>(ROUNDUP((AO36+(AQ36+AP36)*2)/E36,0)*E36)</f>
        <v>117</v>
      </c>
      <c r="AT36">
        <f t="shared" ref="AT36:AT45" si="15">ROUNDUP((AR36*AI36)/36,1)</f>
        <v>19.5</v>
      </c>
      <c r="AV36">
        <f>ROUNDUP((AO36+AP36+AQ36)*2/36,0)</f>
        <v>6</v>
      </c>
      <c r="AW36">
        <f>(AO36+AQ36)/36</f>
        <v>2.8888888888888888</v>
      </c>
    </row>
    <row r="37" spans="1:54" x14ac:dyDescent="0.25">
      <c r="A37" t="s">
        <v>79</v>
      </c>
      <c r="B37" t="s">
        <v>124</v>
      </c>
      <c r="C37" t="s">
        <v>125</v>
      </c>
      <c r="D37">
        <v>57</v>
      </c>
      <c r="E37">
        <v>5</v>
      </c>
      <c r="F37" t="s">
        <v>76</v>
      </c>
      <c r="G37">
        <v>1</v>
      </c>
      <c r="H37" t="s">
        <v>62</v>
      </c>
      <c r="N37" t="s">
        <v>62</v>
      </c>
      <c r="T37" t="s">
        <v>72</v>
      </c>
      <c r="U37" t="s">
        <v>66</v>
      </c>
      <c r="V37">
        <v>100</v>
      </c>
      <c r="AB37" t="s">
        <v>67</v>
      </c>
      <c r="AE37">
        <f t="shared" si="13"/>
        <v>57</v>
      </c>
      <c r="AF37">
        <f>G37*V37</f>
        <v>100</v>
      </c>
      <c r="AG37">
        <v>3</v>
      </c>
      <c r="AH37">
        <f t="shared" si="14"/>
        <v>300</v>
      </c>
      <c r="AI37">
        <f>TRUNC(((AF37*AG37)/D37))+ROUNDUP(VLOOKUP(((AF37*AG37)/D37)-TRUNC(((AF37*AG37)/D37)),CF1:CG4,2),0)</f>
        <v>5</v>
      </c>
      <c r="AO37">
        <v>100</v>
      </c>
      <c r="AP37">
        <v>4</v>
      </c>
      <c r="AQ37">
        <v>4</v>
      </c>
      <c r="AR37">
        <f>(ROUNDUP((AO37+(AQ37+AP37)*2)/E37,0)*E37)</f>
        <v>120</v>
      </c>
      <c r="AT37">
        <f t="shared" si="15"/>
        <v>16.700000000000003</v>
      </c>
      <c r="AV37">
        <f>ROUNDUP((AO37+AP37+AQ37)*2/36,0)</f>
        <v>6</v>
      </c>
      <c r="AW37">
        <f>(AO37+AQ37)/36</f>
        <v>2.8888888888888888</v>
      </c>
      <c r="AX37" t="s">
        <v>108</v>
      </c>
    </row>
    <row r="38" spans="1:54" x14ac:dyDescent="0.25">
      <c r="A38" t="s">
        <v>68</v>
      </c>
      <c r="B38" t="s">
        <v>126</v>
      </c>
      <c r="C38" t="s">
        <v>127</v>
      </c>
      <c r="D38">
        <v>57</v>
      </c>
      <c r="E38">
        <v>10</v>
      </c>
      <c r="F38" t="s">
        <v>76</v>
      </c>
      <c r="G38">
        <v>1</v>
      </c>
      <c r="H38" t="s">
        <v>62</v>
      </c>
      <c r="N38" t="s">
        <v>62</v>
      </c>
      <c r="T38" t="s">
        <v>78</v>
      </c>
      <c r="U38" t="s">
        <v>66</v>
      </c>
      <c r="V38">
        <v>100</v>
      </c>
      <c r="AB38" t="s">
        <v>59</v>
      </c>
      <c r="AE38">
        <f t="shared" si="13"/>
        <v>57</v>
      </c>
      <c r="AF38">
        <f>G38*V38</f>
        <v>100</v>
      </c>
      <c r="AG38">
        <v>3</v>
      </c>
      <c r="AH38">
        <f t="shared" si="14"/>
        <v>300</v>
      </c>
      <c r="AI38">
        <f>TRUNC(((AF38*AG38)/D38))+ROUNDUP(VLOOKUP(((AF38*AG38)/D38)-TRUNC(((AF38*AG38)/D38)),CF1:CG4,2),0)</f>
        <v>5</v>
      </c>
      <c r="AO38">
        <v>100</v>
      </c>
      <c r="AP38">
        <v>4</v>
      </c>
      <c r="AQ38">
        <v>4</v>
      </c>
      <c r="AR38">
        <f>(ROUNDUP((AO38+(AQ38+AP38)*2)/E38,0)*E38)</f>
        <v>120</v>
      </c>
      <c r="AT38">
        <f t="shared" si="15"/>
        <v>16.700000000000003</v>
      </c>
      <c r="AV38">
        <f>ROUNDUP((AO38+AP38+AQ38)*2/36,0)</f>
        <v>6</v>
      </c>
      <c r="AW38">
        <f>(AO38+AQ38)/36</f>
        <v>2.8888888888888888</v>
      </c>
    </row>
    <row r="39" spans="1:54" x14ac:dyDescent="0.25">
      <c r="A39" t="s">
        <v>75</v>
      </c>
      <c r="B39" t="s">
        <v>128</v>
      </c>
      <c r="C39" t="s">
        <v>125</v>
      </c>
      <c r="D39">
        <v>58</v>
      </c>
      <c r="E39">
        <v>8</v>
      </c>
      <c r="F39" t="s">
        <v>69</v>
      </c>
      <c r="G39">
        <v>0.45</v>
      </c>
      <c r="H39" t="s">
        <v>91</v>
      </c>
      <c r="I39" t="s">
        <v>125</v>
      </c>
      <c r="J39" t="s">
        <v>125</v>
      </c>
      <c r="K39">
        <v>59</v>
      </c>
      <c r="L39">
        <v>10</v>
      </c>
      <c r="M39">
        <v>0.55000000000000004</v>
      </c>
      <c r="T39" t="s">
        <v>65</v>
      </c>
      <c r="U39" t="s">
        <v>66</v>
      </c>
      <c r="V39">
        <v>100</v>
      </c>
      <c r="X39">
        <v>8</v>
      </c>
      <c r="Y39">
        <v>100</v>
      </c>
      <c r="Z39">
        <f>Y39-X39</f>
        <v>92</v>
      </c>
      <c r="AA39">
        <v>4.5</v>
      </c>
      <c r="AB39" t="s">
        <v>59</v>
      </c>
      <c r="AE39">
        <f t="shared" si="13"/>
        <v>26.1</v>
      </c>
      <c r="AF39">
        <f>M39*V39</f>
        <v>55.000000000000007</v>
      </c>
      <c r="AG39">
        <v>3</v>
      </c>
      <c r="AH39">
        <f t="shared" si="14"/>
        <v>165.00000000000003</v>
      </c>
      <c r="AI39">
        <v>1.5</v>
      </c>
      <c r="AK39">
        <v>3</v>
      </c>
      <c r="AL39">
        <f>AK39*AJ39</f>
        <v>0</v>
      </c>
      <c r="AM39">
        <f>M39*K39</f>
        <v>32.450000000000003</v>
      </c>
      <c r="AN39">
        <v>1</v>
      </c>
      <c r="AP39">
        <v>4</v>
      </c>
      <c r="AR39">
        <f>(ROUNDUP((Y39+(AA39+AP39)*2)/E39,0)*E39)</f>
        <v>120</v>
      </c>
      <c r="AS39">
        <f>(ROUNDUP((Y39+(AA39+AP39)*2)/L39,0)*L39)</f>
        <v>120</v>
      </c>
      <c r="AT39">
        <f t="shared" si="15"/>
        <v>5</v>
      </c>
      <c r="AU39">
        <f>ROUNDUP((AS39*AN39)/36,1)</f>
        <v>3.4</v>
      </c>
      <c r="AV39">
        <f>ROUNDUP((Y39+AP39+AA39)*2/36,0)</f>
        <v>7</v>
      </c>
      <c r="AW39">
        <f>(Y39+AA39)/36</f>
        <v>2.9027777777777777</v>
      </c>
    </row>
    <row r="40" spans="1:54" x14ac:dyDescent="0.25">
      <c r="A40" t="s">
        <v>79</v>
      </c>
      <c r="B40" t="s">
        <v>129</v>
      </c>
      <c r="C40" t="s">
        <v>103</v>
      </c>
      <c r="D40">
        <v>57</v>
      </c>
      <c r="E40">
        <v>9</v>
      </c>
      <c r="F40" t="s">
        <v>69</v>
      </c>
      <c r="G40">
        <v>1</v>
      </c>
      <c r="H40" t="s">
        <v>62</v>
      </c>
      <c r="N40" t="s">
        <v>62</v>
      </c>
      <c r="T40" t="s">
        <v>65</v>
      </c>
      <c r="U40" t="s">
        <v>66</v>
      </c>
      <c r="V40">
        <v>100</v>
      </c>
      <c r="X40">
        <v>10</v>
      </c>
      <c r="Y40">
        <v>110</v>
      </c>
      <c r="Z40">
        <f>Y40-X40</f>
        <v>100</v>
      </c>
      <c r="AA40">
        <v>4</v>
      </c>
      <c r="AB40" t="s">
        <v>59</v>
      </c>
      <c r="AE40">
        <f t="shared" si="13"/>
        <v>57</v>
      </c>
      <c r="AF40">
        <f>G40*V40</f>
        <v>100</v>
      </c>
      <c r="AG40">
        <v>3</v>
      </c>
      <c r="AH40">
        <f t="shared" si="14"/>
        <v>300</v>
      </c>
      <c r="AI40">
        <v>3</v>
      </c>
      <c r="AP40">
        <v>3</v>
      </c>
      <c r="AR40">
        <f>(ROUNDUP((Y40+(AA40+AP40)*2)/E40,0)*E40)</f>
        <v>126</v>
      </c>
      <c r="AT40">
        <f t="shared" si="15"/>
        <v>10.5</v>
      </c>
      <c r="AV40">
        <f>ROUNDUP((Y40+AP40+AA40)*2/36,0)</f>
        <v>7</v>
      </c>
      <c r="AW40">
        <f>(Y40+AA40)/36</f>
        <v>3.1666666666666665</v>
      </c>
    </row>
    <row r="41" spans="1:54" x14ac:dyDescent="0.25">
      <c r="A41" t="s">
        <v>75</v>
      </c>
      <c r="B41" t="s">
        <v>130</v>
      </c>
      <c r="C41" t="s">
        <v>131</v>
      </c>
      <c r="D41">
        <v>58</v>
      </c>
      <c r="E41">
        <v>5</v>
      </c>
      <c r="F41" t="s">
        <v>69</v>
      </c>
      <c r="G41">
        <v>1</v>
      </c>
      <c r="H41" t="s">
        <v>62</v>
      </c>
      <c r="N41" t="s">
        <v>62</v>
      </c>
      <c r="T41" t="s">
        <v>78</v>
      </c>
      <c r="U41" t="s">
        <v>66</v>
      </c>
      <c r="V41">
        <v>100</v>
      </c>
      <c r="X41">
        <v>5</v>
      </c>
      <c r="Y41">
        <v>100</v>
      </c>
      <c r="Z41">
        <f>Y41-X41</f>
        <v>95</v>
      </c>
      <c r="AA41">
        <v>3</v>
      </c>
      <c r="AB41" t="s">
        <v>59</v>
      </c>
      <c r="AE41">
        <f t="shared" si="13"/>
        <v>58</v>
      </c>
      <c r="AF41">
        <f>G41*V41</f>
        <v>100</v>
      </c>
      <c r="AG41">
        <v>3</v>
      </c>
      <c r="AH41">
        <f t="shared" si="14"/>
        <v>300</v>
      </c>
      <c r="AI41">
        <v>1.5</v>
      </c>
      <c r="AP41">
        <v>4</v>
      </c>
      <c r="AR41">
        <f>(ROUNDUP((Y41+(AA41+AP41)*2)/E41,0)*E41)</f>
        <v>115</v>
      </c>
      <c r="AT41">
        <f t="shared" si="15"/>
        <v>4.8</v>
      </c>
      <c r="AV41">
        <f>ROUNDUP((Y41+AP41+AA41)*2/36,0)</f>
        <v>6</v>
      </c>
      <c r="AW41">
        <f>(Y41+AA41)/36</f>
        <v>2.8611111111111112</v>
      </c>
      <c r="AX41" t="s">
        <v>132</v>
      </c>
    </row>
    <row r="42" spans="1:54" x14ac:dyDescent="0.25">
      <c r="A42" t="s">
        <v>75</v>
      </c>
      <c r="B42" t="s">
        <v>125</v>
      </c>
      <c r="C42" t="s">
        <v>125</v>
      </c>
      <c r="D42">
        <v>59</v>
      </c>
      <c r="E42">
        <v>10</v>
      </c>
      <c r="F42" t="s">
        <v>53</v>
      </c>
      <c r="G42">
        <v>1</v>
      </c>
      <c r="H42" t="s">
        <v>62</v>
      </c>
      <c r="N42" t="s">
        <v>62</v>
      </c>
      <c r="T42" t="s">
        <v>72</v>
      </c>
      <c r="U42" t="s">
        <v>66</v>
      </c>
      <c r="V42">
        <v>100</v>
      </c>
      <c r="AA42">
        <v>4</v>
      </c>
      <c r="AB42" t="s">
        <v>59</v>
      </c>
      <c r="AE42">
        <f t="shared" si="13"/>
        <v>59</v>
      </c>
      <c r="AF42">
        <f>G42*V42</f>
        <v>100</v>
      </c>
      <c r="AG42">
        <v>3</v>
      </c>
      <c r="AH42">
        <f t="shared" si="14"/>
        <v>300</v>
      </c>
      <c r="AI42">
        <f>TRUNC(((AF42*AG42)/D42))+ROUNDUP(VLOOKUP(((AF42*AG42)/D42)-TRUNC(((AF42*AG42)/D42)),CF1:CG4,2),0)</f>
        <v>5</v>
      </c>
      <c r="AO42">
        <v>100</v>
      </c>
      <c r="AP42">
        <v>3</v>
      </c>
      <c r="AR42">
        <f>(ROUNDUP((AO42+(AA42+AP42)*2)/E42,0)*E42)</f>
        <v>120</v>
      </c>
      <c r="AT42">
        <f t="shared" si="15"/>
        <v>16.700000000000003</v>
      </c>
      <c r="AV42">
        <f>ROUNDUP((AO42+AP42+AA42)*2/36,0)</f>
        <v>6</v>
      </c>
      <c r="AW42">
        <f>(AO42+AA42)/36</f>
        <v>2.8888888888888888</v>
      </c>
    </row>
    <row r="43" spans="1:54" x14ac:dyDescent="0.25">
      <c r="A43" t="s">
        <v>75</v>
      </c>
      <c r="B43" t="s">
        <v>125</v>
      </c>
      <c r="C43" t="s">
        <v>125</v>
      </c>
      <c r="D43">
        <v>59</v>
      </c>
      <c r="E43">
        <v>1</v>
      </c>
      <c r="F43" t="s">
        <v>82</v>
      </c>
      <c r="G43">
        <v>0.5</v>
      </c>
      <c r="H43" t="s">
        <v>91</v>
      </c>
      <c r="I43" t="s">
        <v>133</v>
      </c>
      <c r="J43" t="s">
        <v>134</v>
      </c>
      <c r="K43">
        <v>54</v>
      </c>
      <c r="L43">
        <v>1</v>
      </c>
      <c r="M43">
        <v>0.5</v>
      </c>
      <c r="N43" t="s">
        <v>63</v>
      </c>
      <c r="T43" t="s">
        <v>72</v>
      </c>
      <c r="U43" t="s">
        <v>66</v>
      </c>
      <c r="V43">
        <v>100</v>
      </c>
      <c r="AB43" t="s">
        <v>59</v>
      </c>
      <c r="AE43">
        <f t="shared" si="13"/>
        <v>29.5</v>
      </c>
      <c r="AF43">
        <f>M43*V43</f>
        <v>50</v>
      </c>
      <c r="AG43">
        <v>3</v>
      </c>
      <c r="AH43">
        <f t="shared" si="14"/>
        <v>150</v>
      </c>
      <c r="AI43">
        <f>TRUNC(((AF43*AG43)/D43))+ROUNDUP(VLOOKUP(((AF43*AG43)/D43)-TRUNC(((AF43*AG43)/D43)),CF1:CG4,2),0)</f>
        <v>3</v>
      </c>
      <c r="AK43">
        <v>3</v>
      </c>
      <c r="AL43">
        <f t="shared" ref="AL43:AL50" si="16">AK43*AJ43</f>
        <v>0</v>
      </c>
      <c r="AM43">
        <f t="shared" ref="AM43:AM50" si="17">M43*K43</f>
        <v>27</v>
      </c>
      <c r="AN43">
        <f>TRUNC(((AJ43*AK43)/K43))+ROUNDUP(VLOOKUP(((AJ43*AK43)/K43)-TRUNC(((AJ43*AK43)/K43)),CF1:CG4,2),0)</f>
        <v>0</v>
      </c>
      <c r="AO43">
        <v>100</v>
      </c>
      <c r="AP43">
        <v>3</v>
      </c>
      <c r="AQ43">
        <v>4</v>
      </c>
      <c r="AR43">
        <f>(ROUNDUP((AO43+(AQ43+AP43)*2)/E43,0)*E43)</f>
        <v>114</v>
      </c>
      <c r="AS43">
        <f>(ROUNDUP((AO43+(AQ43+AP43)*2)/L43,0)*L43)</f>
        <v>114</v>
      </c>
      <c r="AT43">
        <f t="shared" si="15"/>
        <v>9.5</v>
      </c>
      <c r="AU43">
        <f t="shared" ref="AU43:AU50" si="18">ROUNDUP((AS43*AN43)/36,1)</f>
        <v>0</v>
      </c>
      <c r="AV43">
        <f>ROUNDUP((AO43+AP43+AQ43)*2/36,0)</f>
        <v>6</v>
      </c>
      <c r="AW43">
        <f>(AO43+AQ43)/36</f>
        <v>2.8888888888888888</v>
      </c>
    </row>
    <row r="44" spans="1:54" x14ac:dyDescent="0.25">
      <c r="A44" t="s">
        <v>52</v>
      </c>
      <c r="B44" t="s">
        <v>135</v>
      </c>
      <c r="C44" t="s">
        <v>136</v>
      </c>
      <c r="D44">
        <v>54</v>
      </c>
      <c r="E44">
        <v>7</v>
      </c>
      <c r="F44" t="s">
        <v>69</v>
      </c>
      <c r="G44">
        <v>0.5</v>
      </c>
      <c r="H44" t="s">
        <v>91</v>
      </c>
      <c r="I44" t="s">
        <v>136</v>
      </c>
      <c r="J44" t="s">
        <v>135</v>
      </c>
      <c r="K44">
        <v>54</v>
      </c>
      <c r="L44">
        <v>1</v>
      </c>
      <c r="M44">
        <v>0.5</v>
      </c>
      <c r="N44" t="s">
        <v>55</v>
      </c>
      <c r="T44" t="s">
        <v>57</v>
      </c>
      <c r="U44" t="s">
        <v>58</v>
      </c>
      <c r="X44">
        <v>6</v>
      </c>
      <c r="Y44">
        <v>100</v>
      </c>
      <c r="Z44">
        <f t="shared" ref="Z44:Z50" si="19">Y44-X44</f>
        <v>94</v>
      </c>
      <c r="AA44">
        <v>2</v>
      </c>
      <c r="AB44" t="s">
        <v>59</v>
      </c>
      <c r="AE44">
        <f t="shared" si="13"/>
        <v>27</v>
      </c>
      <c r="AF44">
        <f t="shared" ref="AF44:AF50" si="20">G44*V44</f>
        <v>0</v>
      </c>
      <c r="AG44">
        <v>2.5</v>
      </c>
      <c r="AH44">
        <f t="shared" si="14"/>
        <v>0</v>
      </c>
      <c r="AI44">
        <v>1.5</v>
      </c>
      <c r="AJ44">
        <f t="shared" ref="AJ44:AJ50" si="21">M44*V44</f>
        <v>0</v>
      </c>
      <c r="AK44">
        <v>2.5</v>
      </c>
      <c r="AL44">
        <f t="shared" si="16"/>
        <v>0</v>
      </c>
      <c r="AM44">
        <f t="shared" si="17"/>
        <v>27</v>
      </c>
      <c r="AP44">
        <v>4</v>
      </c>
      <c r="AR44">
        <f t="shared" ref="AR44:AR50" si="22">(ROUNDUP((Y44+(AA44+AP44)*2)/E44,0)*E44)</f>
        <v>112</v>
      </c>
      <c r="AS44">
        <f t="shared" ref="AS44:AS50" si="23">(ROUNDUP((Y44+(AA44+AP44)*2)/L44,0)*L44)</f>
        <v>112</v>
      </c>
      <c r="AT44">
        <f t="shared" si="15"/>
        <v>4.6999999999999993</v>
      </c>
      <c r="AU44">
        <f t="shared" si="18"/>
        <v>0</v>
      </c>
      <c r="AV44">
        <f t="shared" ref="AV44:AV50" si="24">ROUNDUP((Y44+AP44+AA44)*2/36,0)</f>
        <v>6</v>
      </c>
      <c r="AW44">
        <f>(Y44+AA44)/36</f>
        <v>2.8333333333333335</v>
      </c>
    </row>
    <row r="45" spans="1:54" x14ac:dyDescent="0.25">
      <c r="A45" t="s">
        <v>52</v>
      </c>
      <c r="B45" t="s">
        <v>135</v>
      </c>
      <c r="C45" t="s">
        <v>136</v>
      </c>
      <c r="D45">
        <v>54</v>
      </c>
      <c r="E45">
        <v>7</v>
      </c>
      <c r="F45" t="s">
        <v>69</v>
      </c>
      <c r="G45">
        <v>0.5</v>
      </c>
      <c r="H45" t="s">
        <v>91</v>
      </c>
      <c r="I45" t="s">
        <v>136</v>
      </c>
      <c r="J45" t="s">
        <v>135</v>
      </c>
      <c r="K45">
        <v>54</v>
      </c>
      <c r="L45">
        <v>1</v>
      </c>
      <c r="M45">
        <v>0.5</v>
      </c>
      <c r="N45" t="s">
        <v>55</v>
      </c>
      <c r="T45" t="s">
        <v>57</v>
      </c>
      <c r="U45" t="s">
        <v>58</v>
      </c>
      <c r="X45">
        <v>6</v>
      </c>
      <c r="Y45">
        <v>100</v>
      </c>
      <c r="Z45">
        <f t="shared" si="19"/>
        <v>94</v>
      </c>
      <c r="AA45">
        <v>2</v>
      </c>
      <c r="AB45" t="s">
        <v>59</v>
      </c>
      <c r="AE45">
        <f t="shared" si="13"/>
        <v>27</v>
      </c>
      <c r="AF45">
        <f t="shared" si="20"/>
        <v>0</v>
      </c>
      <c r="AG45">
        <v>2.5</v>
      </c>
      <c r="AH45">
        <f t="shared" si="14"/>
        <v>0</v>
      </c>
      <c r="AI45">
        <v>1.5</v>
      </c>
      <c r="AJ45">
        <f t="shared" si="21"/>
        <v>0</v>
      </c>
      <c r="AK45">
        <v>2.5</v>
      </c>
      <c r="AL45">
        <f t="shared" si="16"/>
        <v>0</v>
      </c>
      <c r="AM45">
        <f t="shared" si="17"/>
        <v>27</v>
      </c>
      <c r="AN45">
        <v>1</v>
      </c>
      <c r="AP45">
        <v>4</v>
      </c>
      <c r="AR45">
        <f t="shared" si="22"/>
        <v>112</v>
      </c>
      <c r="AS45">
        <f t="shared" si="23"/>
        <v>112</v>
      </c>
      <c r="AT45">
        <f t="shared" si="15"/>
        <v>4.6999999999999993</v>
      </c>
      <c r="AU45">
        <f t="shared" si="18"/>
        <v>3.2</v>
      </c>
      <c r="AV45">
        <f t="shared" si="24"/>
        <v>6</v>
      </c>
      <c r="AW45">
        <f>(Y45+AA45)/36</f>
        <v>2.8333333333333335</v>
      </c>
    </row>
    <row r="46" spans="1:54" x14ac:dyDescent="0.25">
      <c r="A46" t="s">
        <v>60</v>
      </c>
      <c r="B46" t="s">
        <v>138</v>
      </c>
      <c r="C46" t="s">
        <v>138</v>
      </c>
      <c r="D46">
        <v>57</v>
      </c>
      <c r="E46">
        <v>8</v>
      </c>
      <c r="F46" t="s">
        <v>69</v>
      </c>
      <c r="G46">
        <v>0.5</v>
      </c>
      <c r="H46" t="s">
        <v>91</v>
      </c>
      <c r="I46" t="s">
        <v>138</v>
      </c>
      <c r="J46" t="s">
        <v>138</v>
      </c>
      <c r="K46">
        <v>58</v>
      </c>
      <c r="L46">
        <v>8</v>
      </c>
      <c r="M46">
        <v>0.5</v>
      </c>
      <c r="N46" t="s">
        <v>70</v>
      </c>
      <c r="T46" t="s">
        <v>78</v>
      </c>
      <c r="U46" t="s">
        <v>66</v>
      </c>
      <c r="V46">
        <v>100</v>
      </c>
      <c r="X46">
        <v>6</v>
      </c>
      <c r="Y46">
        <v>100</v>
      </c>
      <c r="Z46">
        <f t="shared" si="19"/>
        <v>94</v>
      </c>
      <c r="AA46">
        <v>4</v>
      </c>
      <c r="AB46" t="s">
        <v>59</v>
      </c>
      <c r="AE46">
        <f>G46*D46</f>
        <v>28.5</v>
      </c>
      <c r="AF46">
        <f t="shared" si="20"/>
        <v>50</v>
      </c>
      <c r="AG46">
        <v>3</v>
      </c>
      <c r="AH46">
        <f>AG46*AF46</f>
        <v>150</v>
      </c>
      <c r="AI46">
        <v>1.5</v>
      </c>
      <c r="AJ46">
        <f t="shared" si="21"/>
        <v>50</v>
      </c>
      <c r="AK46">
        <v>3</v>
      </c>
      <c r="AL46">
        <f t="shared" si="16"/>
        <v>150</v>
      </c>
      <c r="AM46">
        <f t="shared" si="17"/>
        <v>29</v>
      </c>
      <c r="AN46">
        <v>1</v>
      </c>
      <c r="AP46">
        <v>4</v>
      </c>
      <c r="AR46">
        <f t="shared" si="22"/>
        <v>120</v>
      </c>
      <c r="AS46">
        <f t="shared" si="23"/>
        <v>120</v>
      </c>
      <c r="AT46">
        <f t="shared" ref="AT46:AT51" si="25">ROUNDUP((AR46*AI46)/36,1)</f>
        <v>5</v>
      </c>
      <c r="AU46">
        <f t="shared" si="18"/>
        <v>3.4</v>
      </c>
      <c r="AV46">
        <f t="shared" si="24"/>
        <v>6</v>
      </c>
    </row>
    <row r="47" spans="1:54" x14ac:dyDescent="0.25">
      <c r="A47" t="s">
        <v>75</v>
      </c>
      <c r="B47" t="s">
        <v>138</v>
      </c>
      <c r="C47" t="s">
        <v>138</v>
      </c>
      <c r="D47">
        <v>57</v>
      </c>
      <c r="E47">
        <v>10</v>
      </c>
      <c r="F47" t="s">
        <v>69</v>
      </c>
      <c r="G47">
        <v>0.5</v>
      </c>
      <c r="H47" t="s">
        <v>91</v>
      </c>
      <c r="I47" t="s">
        <v>138</v>
      </c>
      <c r="J47" t="s">
        <v>138</v>
      </c>
      <c r="K47">
        <v>57</v>
      </c>
      <c r="L47">
        <v>8</v>
      </c>
      <c r="M47">
        <v>0.5</v>
      </c>
      <c r="N47" t="s">
        <v>63</v>
      </c>
      <c r="T47" t="s">
        <v>78</v>
      </c>
      <c r="U47" t="s">
        <v>73</v>
      </c>
      <c r="V47">
        <v>100</v>
      </c>
      <c r="X47">
        <v>6</v>
      </c>
      <c r="Y47">
        <v>100</v>
      </c>
      <c r="Z47">
        <f t="shared" si="19"/>
        <v>94</v>
      </c>
      <c r="AA47">
        <v>3.5</v>
      </c>
      <c r="AB47" t="s">
        <v>59</v>
      </c>
      <c r="AE47">
        <f>G47*D47</f>
        <v>28.5</v>
      </c>
      <c r="AF47">
        <f t="shared" si="20"/>
        <v>50</v>
      </c>
      <c r="AG47">
        <v>3</v>
      </c>
      <c r="AH47">
        <f>AG47*AF47</f>
        <v>150</v>
      </c>
      <c r="AI47">
        <v>1.5</v>
      </c>
      <c r="AJ47">
        <f t="shared" si="21"/>
        <v>50</v>
      </c>
      <c r="AK47">
        <v>3</v>
      </c>
      <c r="AL47">
        <f t="shared" si="16"/>
        <v>150</v>
      </c>
      <c r="AM47">
        <f t="shared" si="17"/>
        <v>28.5</v>
      </c>
      <c r="AN47">
        <v>1</v>
      </c>
      <c r="AP47">
        <v>3</v>
      </c>
      <c r="AR47">
        <f t="shared" si="22"/>
        <v>120</v>
      </c>
      <c r="AS47">
        <f t="shared" si="23"/>
        <v>120</v>
      </c>
      <c r="AT47">
        <f t="shared" si="25"/>
        <v>5</v>
      </c>
      <c r="AU47">
        <f t="shared" si="18"/>
        <v>3.4</v>
      </c>
      <c r="AV47">
        <f t="shared" si="24"/>
        <v>6</v>
      </c>
    </row>
    <row r="48" spans="1:54" x14ac:dyDescent="0.25">
      <c r="A48" t="s">
        <v>75</v>
      </c>
      <c r="B48" t="s">
        <v>138</v>
      </c>
      <c r="C48" t="s">
        <v>138</v>
      </c>
      <c r="D48">
        <v>57</v>
      </c>
      <c r="E48">
        <v>10</v>
      </c>
      <c r="F48" t="s">
        <v>69</v>
      </c>
      <c r="G48">
        <v>0.5</v>
      </c>
      <c r="H48" t="s">
        <v>91</v>
      </c>
      <c r="I48" t="s">
        <v>138</v>
      </c>
      <c r="J48" t="s">
        <v>138</v>
      </c>
      <c r="K48">
        <v>57</v>
      </c>
      <c r="L48">
        <v>8</v>
      </c>
      <c r="M48">
        <v>0.5</v>
      </c>
      <c r="N48" t="s">
        <v>63</v>
      </c>
      <c r="T48" t="s">
        <v>78</v>
      </c>
      <c r="U48" t="s">
        <v>73</v>
      </c>
      <c r="V48">
        <v>100</v>
      </c>
      <c r="X48">
        <v>6</v>
      </c>
      <c r="Y48">
        <v>100</v>
      </c>
      <c r="Z48">
        <f t="shared" si="19"/>
        <v>94</v>
      </c>
      <c r="AA48">
        <v>3.5</v>
      </c>
      <c r="AB48" t="s">
        <v>59</v>
      </c>
      <c r="AE48">
        <f>G48*D48</f>
        <v>28.5</v>
      </c>
      <c r="AF48">
        <f t="shared" si="20"/>
        <v>50</v>
      </c>
      <c r="AG48">
        <v>3</v>
      </c>
      <c r="AH48">
        <f>AG48*AF48</f>
        <v>150</v>
      </c>
      <c r="AI48">
        <v>1.5</v>
      </c>
      <c r="AJ48">
        <f t="shared" si="21"/>
        <v>50</v>
      </c>
      <c r="AK48">
        <v>3</v>
      </c>
      <c r="AL48">
        <f t="shared" si="16"/>
        <v>150</v>
      </c>
      <c r="AM48">
        <f t="shared" si="17"/>
        <v>28.5</v>
      </c>
      <c r="AN48">
        <v>1</v>
      </c>
      <c r="AP48">
        <v>3</v>
      </c>
      <c r="AR48">
        <f t="shared" si="22"/>
        <v>120</v>
      </c>
      <c r="AS48">
        <f t="shared" si="23"/>
        <v>120</v>
      </c>
      <c r="AT48">
        <f t="shared" si="25"/>
        <v>5</v>
      </c>
      <c r="AU48">
        <f t="shared" si="18"/>
        <v>3.4</v>
      </c>
      <c r="AV48">
        <f t="shared" si="24"/>
        <v>6</v>
      </c>
    </row>
    <row r="49" spans="1:55" x14ac:dyDescent="0.25">
      <c r="A49" t="s">
        <v>75</v>
      </c>
      <c r="B49" t="s">
        <v>138</v>
      </c>
      <c r="C49" t="s">
        <v>138</v>
      </c>
      <c r="D49">
        <v>57</v>
      </c>
      <c r="E49">
        <v>10</v>
      </c>
      <c r="F49" t="s">
        <v>69</v>
      </c>
      <c r="G49">
        <v>0.5</v>
      </c>
      <c r="H49" t="s">
        <v>91</v>
      </c>
      <c r="I49" t="s">
        <v>138</v>
      </c>
      <c r="J49" t="s">
        <v>138</v>
      </c>
      <c r="K49">
        <v>57</v>
      </c>
      <c r="L49">
        <v>8</v>
      </c>
      <c r="M49">
        <v>0.5</v>
      </c>
      <c r="N49" t="s">
        <v>63</v>
      </c>
      <c r="T49" t="s">
        <v>78</v>
      </c>
      <c r="U49" t="s">
        <v>73</v>
      </c>
      <c r="V49">
        <v>100</v>
      </c>
      <c r="X49">
        <v>6</v>
      </c>
      <c r="Y49">
        <v>100</v>
      </c>
      <c r="Z49">
        <f t="shared" si="19"/>
        <v>94</v>
      </c>
      <c r="AA49">
        <v>3.5</v>
      </c>
      <c r="AF49">
        <f t="shared" si="20"/>
        <v>50</v>
      </c>
      <c r="AI49">
        <v>1.5</v>
      </c>
      <c r="AJ49">
        <f t="shared" si="21"/>
        <v>50</v>
      </c>
      <c r="AK49">
        <v>3</v>
      </c>
      <c r="AL49">
        <f t="shared" si="16"/>
        <v>150</v>
      </c>
      <c r="AM49">
        <f t="shared" si="17"/>
        <v>28.5</v>
      </c>
      <c r="AN49">
        <v>1</v>
      </c>
      <c r="AR49">
        <f t="shared" si="22"/>
        <v>110</v>
      </c>
      <c r="AS49">
        <f t="shared" si="23"/>
        <v>112</v>
      </c>
      <c r="AT49">
        <f t="shared" si="25"/>
        <v>4.5999999999999996</v>
      </c>
      <c r="AU49">
        <f t="shared" si="18"/>
        <v>3.2</v>
      </c>
      <c r="AV49">
        <f t="shared" si="24"/>
        <v>6</v>
      </c>
    </row>
    <row r="50" spans="1:55" x14ac:dyDescent="0.25">
      <c r="A50" t="s">
        <v>79</v>
      </c>
      <c r="B50" t="s">
        <v>138</v>
      </c>
      <c r="C50" t="s">
        <v>138</v>
      </c>
      <c r="D50">
        <v>57</v>
      </c>
      <c r="E50">
        <v>10</v>
      </c>
      <c r="F50" t="s">
        <v>69</v>
      </c>
      <c r="G50">
        <v>0.5</v>
      </c>
      <c r="H50" t="s">
        <v>91</v>
      </c>
      <c r="I50" t="s">
        <v>138</v>
      </c>
      <c r="J50" t="s">
        <v>138</v>
      </c>
      <c r="K50">
        <v>56</v>
      </c>
      <c r="L50">
        <v>9</v>
      </c>
      <c r="M50">
        <v>0.5</v>
      </c>
      <c r="N50" t="s">
        <v>55</v>
      </c>
      <c r="O50" t="s">
        <v>91</v>
      </c>
      <c r="P50" t="s">
        <v>64</v>
      </c>
      <c r="Q50" t="s">
        <v>138</v>
      </c>
      <c r="R50" t="s">
        <v>138</v>
      </c>
      <c r="S50">
        <v>5</v>
      </c>
      <c r="T50" t="s">
        <v>81</v>
      </c>
      <c r="U50" t="s">
        <v>73</v>
      </c>
      <c r="V50">
        <v>100</v>
      </c>
      <c r="X50">
        <v>5</v>
      </c>
      <c r="Y50">
        <v>100</v>
      </c>
      <c r="Z50">
        <f t="shared" si="19"/>
        <v>95</v>
      </c>
      <c r="AA50">
        <v>4</v>
      </c>
      <c r="AB50" t="s">
        <v>59</v>
      </c>
      <c r="AE50">
        <f>G50*D50</f>
        <v>28.5</v>
      </c>
      <c r="AF50">
        <f t="shared" si="20"/>
        <v>50</v>
      </c>
      <c r="AG50">
        <v>3</v>
      </c>
      <c r="AH50">
        <f>AG50*AF50</f>
        <v>150</v>
      </c>
      <c r="AI50">
        <v>1.5</v>
      </c>
      <c r="AJ50">
        <f t="shared" si="21"/>
        <v>50</v>
      </c>
      <c r="AK50">
        <v>3</v>
      </c>
      <c r="AL50">
        <f t="shared" si="16"/>
        <v>150</v>
      </c>
      <c r="AM50">
        <f t="shared" si="17"/>
        <v>28</v>
      </c>
      <c r="AN50">
        <v>2</v>
      </c>
      <c r="AP50">
        <v>4</v>
      </c>
      <c r="AR50">
        <f t="shared" si="22"/>
        <v>120</v>
      </c>
      <c r="AS50">
        <f t="shared" si="23"/>
        <v>117</v>
      </c>
      <c r="AT50">
        <f t="shared" si="25"/>
        <v>5</v>
      </c>
      <c r="AU50">
        <f t="shared" si="18"/>
        <v>6.5</v>
      </c>
      <c r="AV50">
        <f t="shared" si="24"/>
        <v>6</v>
      </c>
      <c r="AW50">
        <f>((AI50*D50)/36)</f>
        <v>2.375</v>
      </c>
      <c r="BC50">
        <f>((AN50*K50)/36)</f>
        <v>3.1111111111111112</v>
      </c>
    </row>
    <row r="51" spans="1:55" x14ac:dyDescent="0.25">
      <c r="A51" t="s">
        <v>60</v>
      </c>
      <c r="B51" t="s">
        <v>141</v>
      </c>
      <c r="C51" t="s">
        <v>141</v>
      </c>
      <c r="D51">
        <v>55</v>
      </c>
      <c r="E51">
        <v>7</v>
      </c>
      <c r="F51" t="s">
        <v>83</v>
      </c>
      <c r="G51">
        <v>0.5</v>
      </c>
      <c r="H51" t="s">
        <v>91</v>
      </c>
      <c r="I51" t="s">
        <v>141</v>
      </c>
      <c r="J51" t="s">
        <v>141</v>
      </c>
      <c r="K51">
        <v>55</v>
      </c>
      <c r="L51">
        <v>6</v>
      </c>
      <c r="M51">
        <v>0.5</v>
      </c>
      <c r="N51" t="s">
        <v>70</v>
      </c>
      <c r="O51" t="s">
        <v>91</v>
      </c>
      <c r="P51" t="s">
        <v>56</v>
      </c>
      <c r="Q51" t="s">
        <v>141</v>
      </c>
      <c r="R51" t="s">
        <v>141</v>
      </c>
      <c r="S51">
        <v>6</v>
      </c>
      <c r="T51" t="s">
        <v>78</v>
      </c>
      <c r="U51" t="s">
        <v>66</v>
      </c>
      <c r="V51">
        <v>100</v>
      </c>
      <c r="AB51" t="s">
        <v>59</v>
      </c>
      <c r="AC51">
        <v>4</v>
      </c>
      <c r="AD51">
        <v>3</v>
      </c>
      <c r="AE51">
        <f>G51*D51</f>
        <v>27.5</v>
      </c>
      <c r="AF51">
        <f>IF(AB51="Center Open",(AE51)+(AC51+AD51)*2,(AE51)+(AC51+AD51))</f>
        <v>41.5</v>
      </c>
      <c r="AG51">
        <v>3</v>
      </c>
      <c r="AH51">
        <f>AG51*AF51</f>
        <v>124.5</v>
      </c>
      <c r="AI51">
        <f>TRUNC(((AF51*AG51)/D51))+ROUNDUP(VLOOKUP(((AF51*AG51)/D51)-TRUNC(((AF51*AG51)/D51)),CG1:CH4,2),0)</f>
        <v>2</v>
      </c>
      <c r="AJ51">
        <f>IF(AB51="Center Open",(AM51)+(AC51+AD51)*2,(AM51)+(AC51+AD51))</f>
        <v>41.5</v>
      </c>
      <c r="AK51">
        <v>2</v>
      </c>
      <c r="AL51">
        <f>AK51*AJ51</f>
        <v>83</v>
      </c>
      <c r="AM51">
        <f>M51*K51</f>
        <v>27.5</v>
      </c>
      <c r="AN51">
        <f>TRUNC(((AJ51*AK51)/K51))+ROUNDUP(VLOOKUP(((AJ51*AK51)/K51)-TRUNC(((AJ51*AK51)/K51)),CG1:CH4,2),0)</f>
        <v>1</v>
      </c>
      <c r="AO51">
        <v>100</v>
      </c>
      <c r="AP51">
        <v>4</v>
      </c>
      <c r="AQ51">
        <v>4</v>
      </c>
      <c r="AR51">
        <f>(ROUNDUP((AO51+(AQ51+AP51)*2)/E51,0)*E51)</f>
        <v>119</v>
      </c>
      <c r="AS51">
        <f>(ROUNDUP((AO51+(AQ51+AP51)*2)/L51,0)*L51)</f>
        <v>120</v>
      </c>
      <c r="AT51">
        <f t="shared" si="25"/>
        <v>6.6999999999999993</v>
      </c>
      <c r="AU51">
        <f>ROUNDUP((AS51*AN51)/36,1)</f>
        <v>3.4</v>
      </c>
      <c r="AV51">
        <f>ROUNDUP((AO51+AP51+AQ51)*2/36,0)</f>
        <v>6</v>
      </c>
      <c r="AW51">
        <f>((AO51+AA51)/36)*2</f>
        <v>5.5555555555555554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N_Click">
                <anchor moveWithCells="1" sizeWithCells="1">
                  <from>
                    <xdr:col>0</xdr:col>
                    <xdr:colOff>142875</xdr:colOff>
                    <xdr:row>0</xdr:row>
                    <xdr:rowOff>104775</xdr:rowOff>
                  </from>
                  <to>
                    <xdr:col>2</xdr:col>
                    <xdr:colOff>342900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FF00"/>
  </sheetPr>
  <dimension ref="A1:AS23"/>
  <sheetViews>
    <sheetView zoomScale="70" zoomScaleNormal="70" zoomScalePageLayoutView="70" workbookViewId="0">
      <selection activeCell="G22" sqref="G22"/>
    </sheetView>
  </sheetViews>
  <sheetFormatPr defaultColWidth="8.875" defaultRowHeight="15.75" x14ac:dyDescent="0.25"/>
  <cols>
    <col min="1" max="1" width="17.5" bestFit="1" customWidth="1"/>
    <col min="7" max="7" width="10.5" bestFit="1" customWidth="1"/>
    <col min="8" max="8" width="12.5" bestFit="1" customWidth="1"/>
    <col min="9" max="9" width="10.875" customWidth="1"/>
    <col min="44" max="45" width="10.5" customWidth="1"/>
  </cols>
  <sheetData>
    <row r="1" spans="1:45" ht="26.25" x14ac:dyDescent="0.4">
      <c r="A1" s="56" t="s">
        <v>148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15"/>
    </row>
    <row r="2" spans="1:45" ht="23.25" x14ac:dyDescent="0.25">
      <c r="A2" s="17" t="s">
        <v>143</v>
      </c>
      <c r="B2" s="57" t="s">
        <v>154</v>
      </c>
      <c r="C2" s="57"/>
      <c r="D2" s="16"/>
      <c r="E2" s="16"/>
      <c r="F2" s="16"/>
      <c r="G2" s="58" t="s">
        <v>145</v>
      </c>
      <c r="H2" s="58"/>
      <c r="I2" s="58"/>
      <c r="J2" s="59" t="s">
        <v>155</v>
      </c>
      <c r="K2" s="60"/>
      <c r="L2" s="18"/>
    </row>
    <row r="3" spans="1:45" ht="23.25" x14ac:dyDescent="0.25">
      <c r="A3" s="14" t="s">
        <v>144</v>
      </c>
      <c r="B3" s="61" t="s">
        <v>155</v>
      </c>
      <c r="C3" s="62"/>
      <c r="D3" s="16"/>
      <c r="E3" s="16"/>
      <c r="F3" s="16"/>
      <c r="G3" s="58" t="s">
        <v>146</v>
      </c>
      <c r="H3" s="58"/>
      <c r="I3" s="58"/>
      <c r="J3" s="59" t="s">
        <v>156</v>
      </c>
      <c r="K3" s="60"/>
      <c r="L3" s="18"/>
    </row>
    <row r="4" spans="1:45" ht="123" customHeight="1" x14ac:dyDescent="0.25">
      <c r="A4" s="33" t="s">
        <v>0</v>
      </c>
      <c r="B4" s="33" t="s">
        <v>1</v>
      </c>
      <c r="C4" s="33" t="s">
        <v>2</v>
      </c>
      <c r="D4" s="33" t="s">
        <v>3</v>
      </c>
      <c r="E4" s="33" t="s">
        <v>4</v>
      </c>
      <c r="F4" s="33" t="s">
        <v>5</v>
      </c>
      <c r="G4" s="33" t="s">
        <v>12</v>
      </c>
      <c r="H4" s="33" t="s">
        <v>6</v>
      </c>
      <c r="I4" s="33" t="s">
        <v>7</v>
      </c>
      <c r="J4" s="33" t="s">
        <v>8</v>
      </c>
      <c r="K4" s="33" t="s">
        <v>9</v>
      </c>
      <c r="L4" s="33" t="s">
        <v>10</v>
      </c>
      <c r="M4" s="33" t="s">
        <v>11</v>
      </c>
      <c r="N4" s="33" t="s">
        <v>13</v>
      </c>
      <c r="O4" s="33" t="s">
        <v>14</v>
      </c>
      <c r="P4" s="33" t="s">
        <v>15</v>
      </c>
      <c r="Q4" s="33" t="s">
        <v>16</v>
      </c>
      <c r="R4" s="33" t="s">
        <v>17</v>
      </c>
      <c r="S4" s="33" t="s">
        <v>18</v>
      </c>
      <c r="T4" s="33" t="s">
        <v>19</v>
      </c>
      <c r="U4" s="33" t="s">
        <v>20</v>
      </c>
      <c r="V4" s="33" t="s">
        <v>21</v>
      </c>
      <c r="W4" s="33" t="s">
        <v>26</v>
      </c>
      <c r="X4" s="33" t="s">
        <v>139</v>
      </c>
      <c r="Y4" s="33" t="s">
        <v>30</v>
      </c>
      <c r="Z4" s="33" t="s">
        <v>31</v>
      </c>
      <c r="AA4" s="33" t="s">
        <v>32</v>
      </c>
      <c r="AB4" s="33" t="s">
        <v>33</v>
      </c>
      <c r="AC4" s="33" t="s">
        <v>34</v>
      </c>
      <c r="AD4" s="33" t="s">
        <v>35</v>
      </c>
      <c r="AE4" s="33" t="s">
        <v>36</v>
      </c>
      <c r="AF4" s="33" t="s">
        <v>37</v>
      </c>
      <c r="AG4" s="33" t="s">
        <v>38</v>
      </c>
      <c r="AH4" s="33" t="s">
        <v>39</v>
      </c>
      <c r="AI4" s="33" t="s">
        <v>40</v>
      </c>
      <c r="AJ4" s="33" t="s">
        <v>41</v>
      </c>
      <c r="AK4" s="33" t="s">
        <v>43</v>
      </c>
      <c r="AL4" s="33" t="s">
        <v>44</v>
      </c>
      <c r="AM4" s="33" t="s">
        <v>45</v>
      </c>
      <c r="AN4" s="33" t="s">
        <v>46</v>
      </c>
      <c r="AO4" s="33" t="s">
        <v>47</v>
      </c>
      <c r="AP4" s="33" t="s">
        <v>140</v>
      </c>
      <c r="AQ4" s="33" t="s">
        <v>49</v>
      </c>
      <c r="AR4" s="33" t="s">
        <v>137</v>
      </c>
      <c r="AS4" s="23" t="s">
        <v>152</v>
      </c>
    </row>
    <row r="5" spans="1:45" x14ac:dyDescent="0.2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</row>
    <row r="6" spans="1:45" x14ac:dyDescent="0.25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</row>
    <row r="7" spans="1:45" x14ac:dyDescent="0.25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</row>
    <row r="8" spans="1:45" x14ac:dyDescent="0.2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</row>
    <row r="9" spans="1:45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</row>
    <row r="10" spans="1:45" x14ac:dyDescent="0.2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</row>
    <row r="11" spans="1:45" x14ac:dyDescent="0.2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</row>
    <row r="12" spans="1:45" x14ac:dyDescent="0.2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</row>
    <row r="13" spans="1:45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</row>
    <row r="14" spans="1:45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</row>
    <row r="15" spans="1:45" x14ac:dyDescent="0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</row>
    <row r="16" spans="1:45" x14ac:dyDescent="0.2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</row>
    <row r="17" spans="1:44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</row>
    <row r="18" spans="1:44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</row>
    <row r="19" spans="1:44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</row>
    <row r="20" spans="1:44" x14ac:dyDescent="0.2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</row>
    <row r="21" spans="1:44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</row>
    <row r="22" spans="1:44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</row>
    <row r="23" spans="1:44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</row>
  </sheetData>
  <mergeCells count="7">
    <mergeCell ref="A1:K1"/>
    <mergeCell ref="B2:C2"/>
    <mergeCell ref="G2:I2"/>
    <mergeCell ref="J2:K2"/>
    <mergeCell ref="B3:C3"/>
    <mergeCell ref="G3:I3"/>
    <mergeCell ref="J3:K3"/>
  </mergeCells>
  <pageMargins left="0.25" right="0.25" top="0.75" bottom="0.75" header="0.3" footer="0.3"/>
  <pageSetup orientation="landscape" r:id="rId1"/>
  <headerFooter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odCrown_Button1_Click">
                <anchor moveWithCells="1" sizeWithCells="1">
                  <from>
                    <xdr:col>11</xdr:col>
                    <xdr:colOff>504825</xdr:colOff>
                    <xdr:row>0</xdr:row>
                    <xdr:rowOff>190500</xdr:rowOff>
                  </from>
                  <to>
                    <xdr:col>14</xdr:col>
                    <xdr:colOff>66675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odCrown_Button1_Click">
                <anchor moveWithCells="1" sizeWithCells="1">
                  <from>
                    <xdr:col>3</xdr:col>
                    <xdr:colOff>28575</xdr:colOff>
                    <xdr:row>1</xdr:row>
                    <xdr:rowOff>28575</xdr:rowOff>
                  </from>
                  <to>
                    <xdr:col>5</xdr:col>
                    <xdr:colOff>638175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C000"/>
    <pageSetUpPr fitToPage="1"/>
  </sheetPr>
  <dimension ref="A1:AW173"/>
  <sheetViews>
    <sheetView tabSelected="1" zoomScale="85" zoomScaleNormal="85" zoomScalePageLayoutView="125" workbookViewId="0">
      <pane ySplit="4" topLeftCell="A5" activePane="bottomLeft" state="frozen"/>
      <selection pane="bottomLeft" activeCell="D15" sqref="D15"/>
    </sheetView>
  </sheetViews>
  <sheetFormatPr defaultColWidth="8.875" defaultRowHeight="15.75" x14ac:dyDescent="0.25"/>
  <cols>
    <col min="1" max="2" width="17.5" bestFit="1" customWidth="1"/>
    <col min="3" max="3" width="13.875" customWidth="1"/>
    <col min="7" max="7" width="15.625" customWidth="1"/>
    <col min="8" max="8" width="10.125" style="24" customWidth="1"/>
    <col min="9" max="9" width="10.5" style="24" bestFit="1" customWidth="1"/>
    <col min="10" max="10" width="9" style="24" bestFit="1" customWidth="1"/>
    <col min="11" max="11" width="7.625" style="24" bestFit="1" customWidth="1"/>
    <col min="12" max="13" width="9" style="24" bestFit="1" customWidth="1"/>
    <col min="14" max="14" width="6.625" style="24" bestFit="1" customWidth="1"/>
    <col min="15" max="15" width="8.625" style="24" bestFit="1" customWidth="1"/>
    <col min="16" max="16" width="7" style="24" bestFit="1" customWidth="1"/>
    <col min="17" max="17" width="8.5" style="24" bestFit="1" customWidth="1"/>
    <col min="18" max="18" width="5.875" style="24" bestFit="1" customWidth="1"/>
    <col min="19" max="19" width="5.125" style="24" bestFit="1" customWidth="1"/>
    <col min="20" max="20" width="7.125" bestFit="1" customWidth="1"/>
    <col min="21" max="21" width="8.5" bestFit="1" customWidth="1"/>
    <col min="22" max="22" width="8.875" style="55"/>
    <col min="26" max="26" width="7" bestFit="1" customWidth="1"/>
    <col min="27" max="27" width="11.5" bestFit="1" customWidth="1"/>
    <col min="28" max="28" width="10.5" bestFit="1" customWidth="1"/>
    <col min="29" max="30" width="7.875" bestFit="1" customWidth="1"/>
    <col min="31" max="31" width="9.125" bestFit="1" customWidth="1"/>
    <col min="32" max="32" width="7.625" bestFit="1" customWidth="1"/>
    <col min="33" max="33" width="8.875" bestFit="1" customWidth="1"/>
    <col min="34" max="34" width="10.375" bestFit="1" customWidth="1"/>
    <col min="35" max="35" width="9" bestFit="1" customWidth="1"/>
    <col min="36" max="36" width="8.625" bestFit="1" customWidth="1"/>
    <col min="37" max="37" width="7.5" bestFit="1" customWidth="1"/>
    <col min="38" max="38" width="10.375" bestFit="1" customWidth="1"/>
    <col min="39" max="39" width="8.5" bestFit="1" customWidth="1"/>
    <col min="40" max="41" width="7.375" bestFit="1" customWidth="1"/>
    <col min="42" max="42" width="11" bestFit="1" customWidth="1"/>
    <col min="43" max="43" width="7.875" bestFit="1" customWidth="1"/>
    <col min="44" max="44" width="8.125" bestFit="1" customWidth="1"/>
    <col min="45" max="45" width="24.5" bestFit="1" customWidth="1"/>
    <col min="46" max="46" width="10.5" bestFit="1" customWidth="1"/>
    <col min="47" max="47" width="8.125" bestFit="1" customWidth="1"/>
    <col min="48" max="48" width="7.375" bestFit="1" customWidth="1"/>
    <col min="49" max="49" width="11" customWidth="1"/>
  </cols>
  <sheetData>
    <row r="1" spans="1:49" ht="27" thickBot="1" x14ac:dyDescent="0.45">
      <c r="B1" s="71" t="s">
        <v>142</v>
      </c>
      <c r="C1" s="71"/>
      <c r="D1" s="71"/>
      <c r="E1" s="71"/>
      <c r="F1" s="71"/>
      <c r="G1" s="71"/>
      <c r="H1" s="71"/>
      <c r="I1" s="71"/>
      <c r="J1" s="71"/>
      <c r="K1" s="71"/>
      <c r="L1" s="72"/>
      <c r="M1" s="38"/>
      <c r="N1" s="38"/>
      <c r="O1" s="38"/>
      <c r="P1" s="38"/>
      <c r="Q1" s="38"/>
      <c r="R1" s="38"/>
      <c r="S1" s="38"/>
      <c r="T1" s="15"/>
      <c r="U1" s="15"/>
      <c r="V1" s="52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</row>
    <row r="2" spans="1:49" ht="23.25" x14ac:dyDescent="0.25">
      <c r="A2" s="41" t="s">
        <v>143</v>
      </c>
      <c r="B2" s="42" t="s">
        <v>154</v>
      </c>
      <c r="C2" s="43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63" t="s">
        <v>145</v>
      </c>
      <c r="T2" s="64"/>
      <c r="U2" s="64"/>
      <c r="V2" s="65" t="s">
        <v>155</v>
      </c>
      <c r="W2" s="66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34"/>
      <c r="AS2" s="30"/>
    </row>
    <row r="3" spans="1:49" ht="24" thickBot="1" x14ac:dyDescent="0.3">
      <c r="A3" s="36" t="s">
        <v>144</v>
      </c>
      <c r="B3" s="26" t="s">
        <v>155</v>
      </c>
      <c r="C3" s="37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67" t="s">
        <v>146</v>
      </c>
      <c r="T3" s="68"/>
      <c r="U3" s="68"/>
      <c r="V3" s="69" t="s">
        <v>156</v>
      </c>
      <c r="W3" s="70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35"/>
      <c r="AS3" s="30"/>
    </row>
    <row r="4" spans="1:49" ht="50.1" customHeight="1" x14ac:dyDescent="0.25">
      <c r="A4" s="39" t="s">
        <v>153</v>
      </c>
      <c r="B4" s="39" t="s">
        <v>5</v>
      </c>
      <c r="C4" s="39" t="s">
        <v>0</v>
      </c>
      <c r="D4" s="39" t="s">
        <v>152</v>
      </c>
      <c r="E4" s="39" t="s">
        <v>6</v>
      </c>
      <c r="F4" s="39" t="s">
        <v>1</v>
      </c>
      <c r="G4" s="39" t="s">
        <v>2</v>
      </c>
      <c r="H4" s="39" t="s">
        <v>4</v>
      </c>
      <c r="I4" s="39" t="s">
        <v>12</v>
      </c>
      <c r="J4" s="39" t="s">
        <v>7</v>
      </c>
      <c r="K4" s="39" t="s">
        <v>8</v>
      </c>
      <c r="L4" s="39" t="s">
        <v>11</v>
      </c>
      <c r="M4" s="39" t="s">
        <v>19</v>
      </c>
      <c r="N4" s="39" t="s">
        <v>20</v>
      </c>
      <c r="O4" s="39" t="s">
        <v>27</v>
      </c>
      <c r="P4" s="39" t="s">
        <v>26</v>
      </c>
      <c r="Q4" s="39" t="s">
        <v>41</v>
      </c>
      <c r="R4" s="39" t="s">
        <v>24</v>
      </c>
      <c r="S4" s="39" t="s">
        <v>25</v>
      </c>
      <c r="T4" s="39" t="s">
        <v>34</v>
      </c>
      <c r="U4" s="39" t="s">
        <v>43</v>
      </c>
      <c r="V4" s="53" t="s">
        <v>45</v>
      </c>
      <c r="W4" s="40" t="s">
        <v>39</v>
      </c>
      <c r="X4" s="29" t="s">
        <v>44</v>
      </c>
      <c r="Y4" s="29" t="s">
        <v>46</v>
      </c>
      <c r="Z4" s="29" t="s">
        <v>47</v>
      </c>
      <c r="AA4" s="29" t="s">
        <v>14</v>
      </c>
      <c r="AB4" s="29" t="s">
        <v>15</v>
      </c>
      <c r="AC4" s="29" t="s">
        <v>16</v>
      </c>
      <c r="AD4" s="29" t="s">
        <v>17</v>
      </c>
      <c r="AE4" s="29" t="s">
        <v>18</v>
      </c>
      <c r="AF4" s="29" t="s">
        <v>48</v>
      </c>
      <c r="AG4" s="29" t="s">
        <v>49</v>
      </c>
      <c r="AH4" s="29" t="s">
        <v>30</v>
      </c>
      <c r="AI4" s="29" t="s">
        <v>32</v>
      </c>
      <c r="AJ4" s="29" t="s">
        <v>33</v>
      </c>
      <c r="AK4" s="29" t="s">
        <v>31</v>
      </c>
      <c r="AL4" s="29" t="s">
        <v>38</v>
      </c>
      <c r="AM4" s="29" t="s">
        <v>36</v>
      </c>
      <c r="AN4" s="29" t="s">
        <v>37</v>
      </c>
      <c r="AO4" s="29" t="s">
        <v>35</v>
      </c>
      <c r="AP4" s="29" t="s">
        <v>23</v>
      </c>
      <c r="AQ4" s="29" t="s">
        <v>119</v>
      </c>
      <c r="AR4" s="29" t="s">
        <v>121</v>
      </c>
      <c r="AS4" s="29" t="s">
        <v>137</v>
      </c>
    </row>
    <row r="5" spans="1:49" x14ac:dyDescent="0.2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54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</row>
    <row r="6" spans="1:49" x14ac:dyDescent="0.25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54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</row>
    <row r="7" spans="1:49" x14ac:dyDescent="0.25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54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</row>
    <row r="8" spans="1:49" x14ac:dyDescent="0.2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54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</row>
    <row r="9" spans="1:49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54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</row>
    <row r="10" spans="1:49" x14ac:dyDescent="0.2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54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</row>
    <row r="11" spans="1:49" x14ac:dyDescent="0.2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54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</row>
    <row r="12" spans="1:49" x14ac:dyDescent="0.2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</row>
    <row r="13" spans="1:49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54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</row>
    <row r="14" spans="1:49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54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</row>
    <row r="15" spans="1:49" x14ac:dyDescent="0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54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</row>
    <row r="16" spans="1:49" x14ac:dyDescent="0.2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54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0"/>
    </row>
    <row r="17" spans="1:45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54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</row>
    <row r="18" spans="1:45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54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</row>
    <row r="19" spans="1:45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54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</row>
    <row r="20" spans="1:45" x14ac:dyDescent="0.2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54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</row>
    <row r="21" spans="1:45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54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</row>
    <row r="22" spans="1:45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54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</row>
    <row r="23" spans="1:45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54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</row>
    <row r="24" spans="1:45" x14ac:dyDescent="0.2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54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</row>
    <row r="25" spans="1:45" x14ac:dyDescent="0.2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54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</row>
    <row r="26" spans="1:45" x14ac:dyDescent="0.2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54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</row>
    <row r="27" spans="1:45" x14ac:dyDescent="0.2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54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</row>
    <row r="28" spans="1:45" x14ac:dyDescent="0.2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54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</row>
    <row r="29" spans="1:45" x14ac:dyDescent="0.2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54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</row>
    <row r="30" spans="1:45" x14ac:dyDescent="0.2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54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</row>
    <row r="31" spans="1:45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54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</row>
    <row r="32" spans="1:45" x14ac:dyDescent="0.2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54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</row>
    <row r="33" spans="1:45" x14ac:dyDescent="0.2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54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</row>
    <row r="34" spans="1:45" x14ac:dyDescent="0.2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54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</row>
    <row r="35" spans="1:45" x14ac:dyDescent="0.2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54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</row>
    <row r="36" spans="1:45" x14ac:dyDescent="0.2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54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</row>
    <row r="37" spans="1:45" x14ac:dyDescent="0.2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54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</row>
    <row r="38" spans="1:45" x14ac:dyDescent="0.2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54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</row>
    <row r="39" spans="1:45" x14ac:dyDescent="0.2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54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</row>
    <row r="40" spans="1:45" x14ac:dyDescent="0.2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54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</row>
    <row r="41" spans="1:45" x14ac:dyDescent="0.2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54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</row>
    <row r="42" spans="1:45" x14ac:dyDescent="0.2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54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</row>
    <row r="43" spans="1:45" x14ac:dyDescent="0.2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54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</row>
    <row r="44" spans="1:45" x14ac:dyDescent="0.2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54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</row>
    <row r="45" spans="1:45" x14ac:dyDescent="0.2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54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</row>
    <row r="46" spans="1:45" x14ac:dyDescent="0.2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54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</row>
    <row r="47" spans="1:45" x14ac:dyDescent="0.2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54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</row>
    <row r="48" spans="1:45" x14ac:dyDescent="0.2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54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</row>
    <row r="49" spans="1:45" x14ac:dyDescent="0.2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54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</row>
    <row r="50" spans="1:45" x14ac:dyDescent="0.2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54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</row>
    <row r="51" spans="1:45" x14ac:dyDescent="0.2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54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</row>
    <row r="52" spans="1:45" x14ac:dyDescent="0.2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54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</row>
    <row r="53" spans="1:45" x14ac:dyDescent="0.2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54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</row>
    <row r="54" spans="1:45" x14ac:dyDescent="0.2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54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</row>
    <row r="55" spans="1:45" x14ac:dyDescent="0.2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54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</row>
    <row r="56" spans="1:45" x14ac:dyDescent="0.2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54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</row>
    <row r="57" spans="1:45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54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</row>
    <row r="58" spans="1:45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54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</row>
    <row r="59" spans="1:45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54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</row>
    <row r="60" spans="1:45" x14ac:dyDescent="0.2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54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</row>
    <row r="61" spans="1:45" x14ac:dyDescent="0.2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54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  <c r="AS61" s="30"/>
    </row>
    <row r="62" spans="1:45" x14ac:dyDescent="0.2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54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  <c r="AS62" s="30"/>
    </row>
    <row r="63" spans="1:45" x14ac:dyDescent="0.2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54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  <c r="AS63" s="30"/>
    </row>
    <row r="64" spans="1:45" x14ac:dyDescent="0.2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54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  <c r="AS64" s="30"/>
    </row>
    <row r="65" spans="1:45" x14ac:dyDescent="0.2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54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</row>
    <row r="66" spans="1:45" x14ac:dyDescent="0.2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54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</row>
    <row r="67" spans="1:45" x14ac:dyDescent="0.2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54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</row>
    <row r="68" spans="1:45" x14ac:dyDescent="0.2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54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</row>
    <row r="69" spans="1:45" x14ac:dyDescent="0.2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54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</row>
    <row r="70" spans="1:45" x14ac:dyDescent="0.2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54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</row>
    <row r="71" spans="1:45" x14ac:dyDescent="0.2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54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</row>
    <row r="72" spans="1:45" x14ac:dyDescent="0.2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54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</row>
    <row r="73" spans="1:45" x14ac:dyDescent="0.2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54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</row>
    <row r="74" spans="1:45" x14ac:dyDescent="0.2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54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  <c r="AS74" s="30"/>
    </row>
    <row r="75" spans="1:45" x14ac:dyDescent="0.2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54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  <c r="AS75" s="30"/>
    </row>
    <row r="76" spans="1:45" x14ac:dyDescent="0.2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54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  <c r="AS76" s="30"/>
    </row>
    <row r="77" spans="1:45" x14ac:dyDescent="0.2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54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  <c r="AS77" s="30"/>
    </row>
    <row r="78" spans="1:45" x14ac:dyDescent="0.2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54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  <c r="AS78" s="30"/>
    </row>
    <row r="79" spans="1:45" x14ac:dyDescent="0.2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54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  <c r="AS79" s="30"/>
    </row>
    <row r="80" spans="1:45" x14ac:dyDescent="0.2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54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</row>
    <row r="81" spans="1:45" x14ac:dyDescent="0.2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54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  <c r="AP81" s="30"/>
      <c r="AQ81" s="30"/>
      <c r="AR81" s="30"/>
      <c r="AS81" s="30"/>
    </row>
    <row r="82" spans="1:45" x14ac:dyDescent="0.2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54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  <c r="AP82" s="30"/>
      <c r="AQ82" s="30"/>
      <c r="AR82" s="30"/>
      <c r="AS82" s="30"/>
    </row>
    <row r="83" spans="1:45" x14ac:dyDescent="0.2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54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  <c r="AP83" s="30"/>
      <c r="AQ83" s="30"/>
      <c r="AR83" s="30"/>
      <c r="AS83" s="30"/>
    </row>
    <row r="84" spans="1:45" x14ac:dyDescent="0.2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54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  <c r="AP84" s="30"/>
      <c r="AQ84" s="30"/>
      <c r="AR84" s="30"/>
      <c r="AS84" s="30"/>
    </row>
    <row r="85" spans="1:45" x14ac:dyDescent="0.2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54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  <c r="AP85" s="30"/>
      <c r="AQ85" s="30"/>
      <c r="AR85" s="30"/>
      <c r="AS85" s="30"/>
    </row>
    <row r="86" spans="1:45" x14ac:dyDescent="0.2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54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  <c r="AP86" s="30"/>
      <c r="AQ86" s="30"/>
      <c r="AR86" s="30"/>
      <c r="AS86" s="30"/>
    </row>
    <row r="87" spans="1:45" x14ac:dyDescent="0.2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54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</row>
    <row r="88" spans="1:45" x14ac:dyDescent="0.2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54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  <c r="AP88" s="30"/>
      <c r="AQ88" s="30"/>
      <c r="AR88" s="30"/>
      <c r="AS88" s="30"/>
    </row>
    <row r="89" spans="1:45" x14ac:dyDescent="0.2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54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  <c r="AP89" s="30"/>
      <c r="AQ89" s="30"/>
      <c r="AR89" s="30"/>
      <c r="AS89" s="30"/>
    </row>
    <row r="90" spans="1:45" x14ac:dyDescent="0.2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54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  <c r="AP90" s="30"/>
      <c r="AQ90" s="30"/>
      <c r="AR90" s="30"/>
      <c r="AS90" s="30"/>
    </row>
    <row r="91" spans="1:45" x14ac:dyDescent="0.2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54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  <c r="AP91" s="30"/>
      <c r="AQ91" s="30"/>
      <c r="AR91" s="30"/>
      <c r="AS91" s="30"/>
    </row>
    <row r="92" spans="1:45" x14ac:dyDescent="0.2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54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  <c r="AP92" s="30"/>
      <c r="AQ92" s="30"/>
      <c r="AR92" s="30"/>
      <c r="AS92" s="30"/>
    </row>
    <row r="93" spans="1:45" x14ac:dyDescent="0.2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54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  <c r="AP93" s="30"/>
      <c r="AQ93" s="30"/>
      <c r="AR93" s="30"/>
      <c r="AS93" s="30"/>
    </row>
    <row r="94" spans="1:45" x14ac:dyDescent="0.2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54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  <c r="AP94" s="30"/>
      <c r="AQ94" s="30"/>
      <c r="AR94" s="30"/>
      <c r="AS94" s="30"/>
    </row>
    <row r="95" spans="1:45" x14ac:dyDescent="0.2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54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  <c r="AP95" s="30"/>
      <c r="AQ95" s="30"/>
      <c r="AR95" s="30"/>
      <c r="AS95" s="30"/>
    </row>
    <row r="96" spans="1:45" x14ac:dyDescent="0.2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54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  <c r="AP96" s="30"/>
      <c r="AQ96" s="30"/>
      <c r="AR96" s="30"/>
      <c r="AS96" s="30"/>
    </row>
    <row r="97" spans="1:45" x14ac:dyDescent="0.2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54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  <c r="AP97" s="30"/>
      <c r="AQ97" s="30"/>
      <c r="AR97" s="30"/>
      <c r="AS97" s="30"/>
    </row>
    <row r="98" spans="1:45" x14ac:dyDescent="0.2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54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  <c r="AP98" s="30"/>
      <c r="AQ98" s="30"/>
      <c r="AR98" s="30"/>
      <c r="AS98" s="30"/>
    </row>
    <row r="99" spans="1:45" x14ac:dyDescent="0.2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54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  <c r="AP99" s="30"/>
      <c r="AQ99" s="30"/>
      <c r="AR99" s="30"/>
      <c r="AS99" s="30"/>
    </row>
    <row r="100" spans="1:45" x14ac:dyDescent="0.2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54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  <c r="AP100" s="30"/>
      <c r="AQ100" s="30"/>
      <c r="AR100" s="30"/>
      <c r="AS100" s="30"/>
    </row>
    <row r="101" spans="1:45" x14ac:dyDescent="0.2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54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  <c r="AP101" s="30"/>
      <c r="AQ101" s="30"/>
      <c r="AR101" s="30"/>
      <c r="AS101" s="30"/>
    </row>
    <row r="102" spans="1:45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54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  <c r="AP102" s="30"/>
      <c r="AQ102" s="30"/>
      <c r="AR102" s="30"/>
      <c r="AS102" s="30"/>
    </row>
    <row r="103" spans="1:45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54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  <c r="AP103" s="30"/>
      <c r="AQ103" s="30"/>
      <c r="AR103" s="30"/>
      <c r="AS103" s="30"/>
    </row>
    <row r="104" spans="1:45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54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  <c r="AP104" s="30"/>
      <c r="AQ104" s="30"/>
      <c r="AR104" s="30"/>
      <c r="AS104" s="30"/>
    </row>
    <row r="105" spans="1:45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54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  <c r="AP105" s="30"/>
      <c r="AQ105" s="30"/>
      <c r="AR105" s="30"/>
      <c r="AS105" s="30"/>
    </row>
    <row r="106" spans="1:45" x14ac:dyDescent="0.2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54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  <c r="AP106" s="30"/>
      <c r="AQ106" s="30"/>
      <c r="AR106" s="30"/>
      <c r="AS106" s="30"/>
    </row>
    <row r="107" spans="1:45" x14ac:dyDescent="0.2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54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  <c r="AS107" s="30"/>
    </row>
    <row r="108" spans="1:45" x14ac:dyDescent="0.2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54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  <c r="AP108" s="30"/>
      <c r="AQ108" s="30"/>
      <c r="AR108" s="30"/>
      <c r="AS108" s="30"/>
    </row>
    <row r="109" spans="1:45" x14ac:dyDescent="0.2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54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  <c r="AP109" s="30"/>
      <c r="AQ109" s="30"/>
      <c r="AR109" s="30"/>
      <c r="AS109" s="30"/>
    </row>
    <row r="110" spans="1:45" x14ac:dyDescent="0.2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54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  <c r="AP110" s="30"/>
      <c r="AQ110" s="30"/>
      <c r="AR110" s="30"/>
      <c r="AS110" s="30"/>
    </row>
    <row r="111" spans="1:45" x14ac:dyDescent="0.2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54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  <c r="AP111" s="30"/>
      <c r="AQ111" s="30"/>
      <c r="AR111" s="30"/>
      <c r="AS111" s="30"/>
    </row>
    <row r="112" spans="1:45" x14ac:dyDescent="0.2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54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0"/>
      <c r="AS112" s="30"/>
    </row>
    <row r="113" spans="1:45" x14ac:dyDescent="0.2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54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</row>
    <row r="114" spans="1:45" x14ac:dyDescent="0.2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54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  <c r="AP114" s="30"/>
      <c r="AQ114" s="30"/>
      <c r="AR114" s="30"/>
      <c r="AS114" s="30"/>
    </row>
    <row r="115" spans="1:45" x14ac:dyDescent="0.2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54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  <c r="AP115" s="30"/>
      <c r="AQ115" s="30"/>
      <c r="AR115" s="30"/>
      <c r="AS115" s="30"/>
    </row>
    <row r="116" spans="1:45" x14ac:dyDescent="0.2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54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0"/>
      <c r="AS116" s="30"/>
    </row>
    <row r="117" spans="1:45" x14ac:dyDescent="0.2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54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  <c r="AP117" s="30"/>
      <c r="AQ117" s="30"/>
      <c r="AR117" s="30"/>
      <c r="AS117" s="30"/>
    </row>
    <row r="118" spans="1:45" x14ac:dyDescent="0.2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54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  <c r="AP118" s="30"/>
      <c r="AQ118" s="30"/>
      <c r="AR118" s="30"/>
      <c r="AS118" s="30"/>
    </row>
    <row r="119" spans="1:45" x14ac:dyDescent="0.2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54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  <c r="AP119" s="30"/>
      <c r="AQ119" s="30"/>
      <c r="AR119" s="30"/>
      <c r="AS119" s="30"/>
    </row>
    <row r="120" spans="1:45" x14ac:dyDescent="0.2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54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  <c r="AS120" s="30"/>
    </row>
    <row r="121" spans="1:45" x14ac:dyDescent="0.2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54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  <c r="AS121" s="30"/>
    </row>
    <row r="122" spans="1:45" x14ac:dyDescent="0.2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54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  <c r="AS122" s="30"/>
    </row>
    <row r="123" spans="1:45" x14ac:dyDescent="0.2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54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  <c r="AS123" s="30"/>
    </row>
    <row r="124" spans="1:45" x14ac:dyDescent="0.2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54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  <c r="AS124" s="30"/>
    </row>
    <row r="125" spans="1:45" x14ac:dyDescent="0.2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54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  <c r="AS125" s="30"/>
    </row>
    <row r="126" spans="1:45" x14ac:dyDescent="0.2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54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  <c r="AS126" s="30"/>
    </row>
    <row r="127" spans="1:45" x14ac:dyDescent="0.2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54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  <c r="AS127" s="30"/>
    </row>
    <row r="128" spans="1:45" x14ac:dyDescent="0.2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54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  <c r="AS128" s="30"/>
    </row>
    <row r="129" spans="1:45" x14ac:dyDescent="0.2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54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  <c r="AS129" s="30"/>
    </row>
    <row r="130" spans="1:45" x14ac:dyDescent="0.2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54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  <c r="AS130" s="30"/>
    </row>
    <row r="131" spans="1:45" x14ac:dyDescent="0.2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54"/>
      <c r="W131" s="30"/>
      <c r="X131" s="30"/>
      <c r="Y131" s="30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  <c r="AP131" s="30"/>
      <c r="AQ131" s="30"/>
      <c r="AR131" s="30"/>
      <c r="AS131" s="30"/>
    </row>
    <row r="132" spans="1:45" x14ac:dyDescent="0.2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54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  <c r="AP132" s="30"/>
      <c r="AQ132" s="30"/>
      <c r="AR132" s="30"/>
      <c r="AS132" s="30"/>
    </row>
    <row r="133" spans="1:45" x14ac:dyDescent="0.2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54"/>
      <c r="W133" s="30"/>
      <c r="X133" s="30"/>
      <c r="Y133" s="30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  <c r="AP133" s="30"/>
      <c r="AQ133" s="30"/>
      <c r="AR133" s="30"/>
      <c r="AS133" s="30"/>
    </row>
    <row r="134" spans="1:45" x14ac:dyDescent="0.2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54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  <c r="AP134" s="30"/>
      <c r="AQ134" s="30"/>
      <c r="AR134" s="30"/>
      <c r="AS134" s="30"/>
    </row>
    <row r="135" spans="1:45" x14ac:dyDescent="0.2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54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  <c r="AP135" s="30"/>
      <c r="AQ135" s="30"/>
      <c r="AR135" s="30"/>
      <c r="AS135" s="30"/>
    </row>
    <row r="136" spans="1:45" x14ac:dyDescent="0.2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54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30"/>
      <c r="AS136" s="30"/>
    </row>
    <row r="137" spans="1:45" x14ac:dyDescent="0.2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54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  <c r="AP137" s="30"/>
      <c r="AQ137" s="30"/>
      <c r="AR137" s="30"/>
      <c r="AS137" s="30"/>
    </row>
    <row r="138" spans="1:45" x14ac:dyDescent="0.2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54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  <c r="AP138" s="30"/>
      <c r="AQ138" s="30"/>
      <c r="AR138" s="30"/>
      <c r="AS138" s="30"/>
    </row>
    <row r="139" spans="1:45" x14ac:dyDescent="0.2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54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  <c r="AP139" s="30"/>
      <c r="AQ139" s="30"/>
      <c r="AR139" s="30"/>
      <c r="AS139" s="30"/>
    </row>
    <row r="140" spans="1:45" x14ac:dyDescent="0.2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54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  <c r="AP140" s="30"/>
      <c r="AQ140" s="30"/>
      <c r="AR140" s="30"/>
      <c r="AS140" s="30"/>
    </row>
    <row r="141" spans="1:45" x14ac:dyDescent="0.2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54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  <c r="AP141" s="30"/>
      <c r="AQ141" s="30"/>
      <c r="AR141" s="30"/>
      <c r="AS141" s="30"/>
    </row>
    <row r="142" spans="1:45" x14ac:dyDescent="0.2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54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  <c r="AP142" s="30"/>
      <c r="AQ142" s="30"/>
      <c r="AR142" s="30"/>
      <c r="AS142" s="30"/>
    </row>
    <row r="143" spans="1:45" x14ac:dyDescent="0.2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54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  <c r="AP143" s="30"/>
      <c r="AQ143" s="30"/>
      <c r="AR143" s="30"/>
      <c r="AS143" s="30"/>
    </row>
    <row r="144" spans="1:45" x14ac:dyDescent="0.2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54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  <c r="AP144" s="30"/>
      <c r="AQ144" s="30"/>
      <c r="AR144" s="30"/>
      <c r="AS144" s="30"/>
    </row>
    <row r="145" spans="1:45" x14ac:dyDescent="0.2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54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  <c r="AP145" s="30"/>
      <c r="AQ145" s="30"/>
      <c r="AR145" s="30"/>
      <c r="AS145" s="30"/>
    </row>
    <row r="146" spans="1:45" x14ac:dyDescent="0.2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54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  <c r="AP146" s="30"/>
      <c r="AQ146" s="30"/>
      <c r="AR146" s="30"/>
      <c r="AS146" s="30"/>
    </row>
    <row r="147" spans="1:45" x14ac:dyDescent="0.2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54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30"/>
      <c r="AR147" s="30"/>
      <c r="AS147" s="30"/>
    </row>
    <row r="148" spans="1:45" x14ac:dyDescent="0.2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54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  <c r="AP148" s="30"/>
      <c r="AQ148" s="30"/>
      <c r="AR148" s="30"/>
      <c r="AS148" s="30"/>
    </row>
    <row r="149" spans="1:45" x14ac:dyDescent="0.2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54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0"/>
      <c r="AS149" s="30"/>
    </row>
    <row r="150" spans="1:45" x14ac:dyDescent="0.2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54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  <c r="AP150" s="30"/>
      <c r="AQ150" s="30"/>
      <c r="AR150" s="30"/>
      <c r="AS150" s="30"/>
    </row>
    <row r="151" spans="1:45" x14ac:dyDescent="0.2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54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  <c r="AP151" s="30"/>
      <c r="AQ151" s="30"/>
      <c r="AR151" s="30"/>
      <c r="AS151" s="30"/>
    </row>
    <row r="152" spans="1:45" x14ac:dyDescent="0.2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54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  <c r="AP152" s="30"/>
      <c r="AQ152" s="30"/>
      <c r="AR152" s="30"/>
      <c r="AS152" s="30"/>
    </row>
    <row r="153" spans="1:45" x14ac:dyDescent="0.2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54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  <c r="AP153" s="30"/>
      <c r="AQ153" s="30"/>
      <c r="AR153" s="30"/>
      <c r="AS153" s="30"/>
    </row>
    <row r="154" spans="1:45" x14ac:dyDescent="0.2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54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  <c r="AP154" s="30"/>
      <c r="AQ154" s="30"/>
      <c r="AR154" s="30"/>
      <c r="AS154" s="30"/>
    </row>
    <row r="155" spans="1:45" x14ac:dyDescent="0.2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54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  <c r="AP155" s="30"/>
      <c r="AQ155" s="30"/>
      <c r="AR155" s="30"/>
      <c r="AS155" s="30"/>
    </row>
    <row r="156" spans="1:45" x14ac:dyDescent="0.2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54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0"/>
      <c r="AK156" s="30"/>
      <c r="AL156" s="30"/>
      <c r="AM156" s="30"/>
      <c r="AN156" s="30"/>
      <c r="AO156" s="30"/>
      <c r="AP156" s="30"/>
      <c r="AQ156" s="30"/>
      <c r="AR156" s="30"/>
      <c r="AS156" s="30"/>
    </row>
    <row r="157" spans="1:45" x14ac:dyDescent="0.2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54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  <c r="AP157" s="30"/>
      <c r="AQ157" s="30"/>
      <c r="AR157" s="30"/>
      <c r="AS157" s="30"/>
    </row>
    <row r="158" spans="1:45" x14ac:dyDescent="0.2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54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  <c r="AP158" s="30"/>
      <c r="AQ158" s="30"/>
      <c r="AR158" s="30"/>
      <c r="AS158" s="30"/>
    </row>
    <row r="159" spans="1:45" x14ac:dyDescent="0.2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54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  <c r="AP159" s="30"/>
      <c r="AQ159" s="30"/>
      <c r="AR159" s="30"/>
      <c r="AS159" s="30"/>
    </row>
    <row r="160" spans="1:45" x14ac:dyDescent="0.2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54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  <c r="AP160" s="30"/>
      <c r="AQ160" s="30"/>
      <c r="AR160" s="30"/>
      <c r="AS160" s="30"/>
    </row>
    <row r="161" spans="1:45" x14ac:dyDescent="0.2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54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  <c r="AP161" s="30"/>
      <c r="AQ161" s="30"/>
      <c r="AR161" s="30"/>
      <c r="AS161" s="30"/>
    </row>
    <row r="162" spans="1:45" x14ac:dyDescent="0.2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54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  <c r="AP162" s="30"/>
      <c r="AQ162" s="30"/>
      <c r="AR162" s="30"/>
      <c r="AS162" s="30"/>
    </row>
    <row r="163" spans="1:45" x14ac:dyDescent="0.2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54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  <c r="AP163" s="30"/>
      <c r="AQ163" s="30"/>
      <c r="AR163" s="30"/>
      <c r="AS163" s="30"/>
    </row>
    <row r="164" spans="1:45" x14ac:dyDescent="0.2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54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  <c r="AP164" s="30"/>
      <c r="AQ164" s="30"/>
      <c r="AR164" s="30"/>
      <c r="AS164" s="30"/>
    </row>
    <row r="165" spans="1:45" x14ac:dyDescent="0.2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54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  <c r="AP165" s="30"/>
      <c r="AQ165" s="30"/>
      <c r="AR165" s="30"/>
      <c r="AS165" s="30"/>
    </row>
    <row r="166" spans="1:45" x14ac:dyDescent="0.2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54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  <c r="AP166" s="30"/>
      <c r="AQ166" s="30"/>
      <c r="AR166" s="30"/>
      <c r="AS166" s="30"/>
    </row>
    <row r="167" spans="1:45" x14ac:dyDescent="0.2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54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  <c r="AP167" s="30"/>
      <c r="AQ167" s="30"/>
      <c r="AR167" s="30"/>
      <c r="AS167" s="30"/>
    </row>
    <row r="168" spans="1:45" x14ac:dyDescent="0.2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54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  <c r="AP168" s="30"/>
      <c r="AQ168" s="30"/>
      <c r="AR168" s="30"/>
      <c r="AS168" s="30"/>
    </row>
    <row r="169" spans="1:45" x14ac:dyDescent="0.2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54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  <c r="AP169" s="30"/>
      <c r="AQ169" s="30"/>
      <c r="AR169" s="30"/>
      <c r="AS169" s="30"/>
    </row>
    <row r="170" spans="1:45" x14ac:dyDescent="0.2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54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  <c r="AP170" s="30"/>
      <c r="AQ170" s="30"/>
      <c r="AR170" s="30"/>
      <c r="AS170" s="30"/>
    </row>
    <row r="171" spans="1:45" x14ac:dyDescent="0.2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54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  <c r="AP171" s="30"/>
      <c r="AQ171" s="30"/>
      <c r="AR171" s="30"/>
      <c r="AS171" s="30"/>
    </row>
    <row r="172" spans="1:45" x14ac:dyDescent="0.2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54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  <c r="AP172" s="30"/>
      <c r="AQ172" s="30"/>
      <c r="AR172" s="30"/>
      <c r="AS172" s="30"/>
    </row>
    <row r="173" spans="1:45" x14ac:dyDescent="0.2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54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  <c r="AP173" s="30"/>
      <c r="AQ173" s="30"/>
      <c r="AR173" s="30"/>
      <c r="AS173" s="30"/>
    </row>
  </sheetData>
  <mergeCells count="5">
    <mergeCell ref="S2:U2"/>
    <mergeCell ref="V2:W2"/>
    <mergeCell ref="S3:U3"/>
    <mergeCell ref="V3:W3"/>
    <mergeCell ref="B1:L1"/>
  </mergeCells>
  <phoneticPr fontId="10" type="noConversion"/>
  <pageMargins left="0.25" right="0.25" top="0.75" bottom="0.75" header="0.3" footer="0.3"/>
  <pageSetup scale="50" pageOrder="overThenDown" orientation="portrait" copies="2" r:id="rId1"/>
  <headerFooter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RodCrown_Button1_Click">
                <anchor moveWithCells="1" sizeWithCells="1">
                  <from>
                    <xdr:col>4</xdr:col>
                    <xdr:colOff>400050</xdr:colOff>
                    <xdr:row>1</xdr:row>
                    <xdr:rowOff>0</xdr:rowOff>
                  </from>
                  <to>
                    <xdr:col>6</xdr:col>
                    <xdr:colOff>1095375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F0"/>
  </sheetPr>
  <dimension ref="A1:AS23"/>
  <sheetViews>
    <sheetView zoomScale="70" zoomScaleNormal="70" zoomScalePageLayoutView="70" workbookViewId="0">
      <selection activeCell="O2" sqref="O2"/>
    </sheetView>
  </sheetViews>
  <sheetFormatPr defaultColWidth="8.875" defaultRowHeight="15.75" x14ac:dyDescent="0.25"/>
  <cols>
    <col min="1" max="1" width="17.5" bestFit="1" customWidth="1"/>
    <col min="2" max="2" width="11.375" customWidth="1"/>
    <col min="6" max="6" width="16.5" bestFit="1" customWidth="1"/>
    <col min="8" max="8" width="10.125" customWidth="1"/>
    <col min="14" max="14" width="13.125" customWidth="1"/>
    <col min="15" max="15" width="12.5" customWidth="1"/>
    <col min="16" max="16" width="11" customWidth="1"/>
    <col min="19" max="19" width="12.5" customWidth="1"/>
    <col min="20" max="20" width="14.375" bestFit="1" customWidth="1"/>
  </cols>
  <sheetData>
    <row r="1" spans="1:45" ht="26.25" x14ac:dyDescent="0.4">
      <c r="A1" s="56" t="s">
        <v>147</v>
      </c>
      <c r="B1" s="56"/>
      <c r="C1" s="56"/>
      <c r="D1" s="56"/>
      <c r="E1" s="56"/>
      <c r="F1" s="56"/>
      <c r="G1" s="56"/>
      <c r="H1" s="56"/>
      <c r="I1" s="56"/>
      <c r="J1" s="56"/>
      <c r="K1" s="56"/>
    </row>
    <row r="2" spans="1:45" ht="23.25" x14ac:dyDescent="0.25">
      <c r="A2" s="14" t="s">
        <v>143</v>
      </c>
      <c r="B2" s="62" t="s">
        <v>154</v>
      </c>
      <c r="C2" s="62"/>
      <c r="D2" s="21"/>
      <c r="E2" s="21"/>
      <c r="F2" s="21"/>
      <c r="G2" s="58" t="s">
        <v>145</v>
      </c>
      <c r="H2" s="58"/>
      <c r="I2" s="58"/>
      <c r="J2" s="59" t="s">
        <v>155</v>
      </c>
      <c r="K2" s="60"/>
    </row>
    <row r="3" spans="1:45" ht="23.25" x14ac:dyDescent="0.25">
      <c r="A3" s="14" t="s">
        <v>144</v>
      </c>
      <c r="B3" s="61" t="s">
        <v>155</v>
      </c>
      <c r="C3" s="62"/>
      <c r="D3" s="21"/>
      <c r="E3" s="21"/>
      <c r="F3" s="21"/>
      <c r="G3" s="58" t="s">
        <v>146</v>
      </c>
      <c r="H3" s="58"/>
      <c r="I3" s="58"/>
      <c r="J3" s="59" t="s">
        <v>156</v>
      </c>
      <c r="K3" s="60"/>
    </row>
    <row r="4" spans="1:45" ht="120" customHeight="1" x14ac:dyDescent="0.25">
      <c r="A4" s="31" t="s">
        <v>0</v>
      </c>
      <c r="B4" s="31" t="s">
        <v>1</v>
      </c>
      <c r="C4" s="31" t="s">
        <v>2</v>
      </c>
      <c r="D4" s="31" t="s">
        <v>3</v>
      </c>
      <c r="E4" s="31" t="s">
        <v>4</v>
      </c>
      <c r="F4" s="31" t="s">
        <v>5</v>
      </c>
      <c r="G4" s="31" t="s">
        <v>12</v>
      </c>
      <c r="H4" s="31" t="s">
        <v>6</v>
      </c>
      <c r="I4" s="31" t="s">
        <v>7</v>
      </c>
      <c r="J4" s="31" t="s">
        <v>8</v>
      </c>
      <c r="K4" s="31" t="s">
        <v>9</v>
      </c>
      <c r="L4" s="31" t="s">
        <v>10</v>
      </c>
      <c r="M4" s="31" t="s">
        <v>11</v>
      </c>
      <c r="N4" s="31" t="s">
        <v>13</v>
      </c>
      <c r="O4" s="31" t="s">
        <v>14</v>
      </c>
      <c r="P4" s="31" t="s">
        <v>15</v>
      </c>
      <c r="Q4" s="31" t="s">
        <v>16</v>
      </c>
      <c r="R4" s="31" t="s">
        <v>17</v>
      </c>
      <c r="S4" s="31" t="s">
        <v>18</v>
      </c>
      <c r="T4" s="31" t="s">
        <v>19</v>
      </c>
      <c r="U4" s="31" t="s">
        <v>20</v>
      </c>
      <c r="V4" s="31" t="s">
        <v>21</v>
      </c>
      <c r="W4" s="31" t="s">
        <v>27</v>
      </c>
      <c r="X4" s="31" t="s">
        <v>30</v>
      </c>
      <c r="Y4" s="31" t="s">
        <v>31</v>
      </c>
      <c r="Z4" s="31" t="s">
        <v>32</v>
      </c>
      <c r="AA4" s="31" t="s">
        <v>33</v>
      </c>
      <c r="AB4" s="31" t="s">
        <v>34</v>
      </c>
      <c r="AC4" s="31" t="s">
        <v>35</v>
      </c>
      <c r="AD4" s="31" t="s">
        <v>36</v>
      </c>
      <c r="AE4" s="31" t="s">
        <v>37</v>
      </c>
      <c r="AF4" s="31" t="s">
        <v>38</v>
      </c>
      <c r="AG4" s="31" t="s">
        <v>39</v>
      </c>
      <c r="AH4" s="31" t="s">
        <v>40</v>
      </c>
      <c r="AI4" s="31" t="s">
        <v>41</v>
      </c>
      <c r="AJ4" s="31" t="s">
        <v>42</v>
      </c>
      <c r="AK4" s="31" t="s">
        <v>43</v>
      </c>
      <c r="AL4" s="31" t="s">
        <v>44</v>
      </c>
      <c r="AM4" s="31" t="s">
        <v>45</v>
      </c>
      <c r="AN4" s="31" t="s">
        <v>46</v>
      </c>
      <c r="AO4" s="31" t="s">
        <v>47</v>
      </c>
      <c r="AP4" s="31" t="s">
        <v>48</v>
      </c>
      <c r="AQ4" s="31" t="s">
        <v>49</v>
      </c>
      <c r="AR4" s="31" t="s">
        <v>137</v>
      </c>
      <c r="AS4" s="25" t="s">
        <v>152</v>
      </c>
    </row>
    <row r="5" spans="1:45" x14ac:dyDescent="0.2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</row>
    <row r="6" spans="1:45" x14ac:dyDescent="0.25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</row>
    <row r="7" spans="1:45" x14ac:dyDescent="0.25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</row>
    <row r="8" spans="1:45" x14ac:dyDescent="0.2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</row>
    <row r="9" spans="1:45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</row>
    <row r="10" spans="1:45" x14ac:dyDescent="0.2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</row>
    <row r="11" spans="1:45" x14ac:dyDescent="0.2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</row>
    <row r="12" spans="1:45" x14ac:dyDescent="0.2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</row>
    <row r="13" spans="1:45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</row>
    <row r="14" spans="1:45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</row>
    <row r="15" spans="1:45" x14ac:dyDescent="0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</row>
    <row r="16" spans="1:45" x14ac:dyDescent="0.2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</row>
    <row r="17" spans="1:44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</row>
    <row r="18" spans="1:44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</row>
    <row r="19" spans="1:44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</row>
    <row r="20" spans="1:44" x14ac:dyDescent="0.2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</row>
    <row r="21" spans="1:44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</row>
    <row r="22" spans="1:44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</row>
    <row r="23" spans="1:44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</row>
  </sheetData>
  <mergeCells count="7">
    <mergeCell ref="A1:K1"/>
    <mergeCell ref="B2:C2"/>
    <mergeCell ref="G2:I2"/>
    <mergeCell ref="J2:K2"/>
    <mergeCell ref="B3:C3"/>
    <mergeCell ref="G3:I3"/>
    <mergeCell ref="J3:K3"/>
  </mergeCells>
  <pageMargins left="0.25" right="0.25" top="0.75" bottom="0.75" header="0.3" footer="0.3"/>
  <pageSetup orientation="landscape" r:id="rId1"/>
  <headerFooter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odCrown_Button1_Click">
                <anchor moveWithCells="1" sizeWithCells="1">
                  <from>
                    <xdr:col>12</xdr:col>
                    <xdr:colOff>276225</xdr:colOff>
                    <xdr:row>0</xdr:row>
                    <xdr:rowOff>200025</xdr:rowOff>
                  </from>
                  <to>
                    <xdr:col>14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RodCrown_Button1_Click">
                <anchor moveWithCells="1" sizeWithCells="1">
                  <from>
                    <xdr:col>3</xdr:col>
                    <xdr:colOff>371475</xdr:colOff>
                    <xdr:row>1</xdr:row>
                    <xdr:rowOff>28575</xdr:rowOff>
                  </from>
                  <to>
                    <xdr:col>5</xdr:col>
                    <xdr:colOff>723900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AV23"/>
  <sheetViews>
    <sheetView zoomScale="85" zoomScaleNormal="85" zoomScalePageLayoutView="85" workbookViewId="0">
      <selection activeCell="V12" sqref="V12"/>
    </sheetView>
  </sheetViews>
  <sheetFormatPr defaultColWidth="8.875" defaultRowHeight="15.75" x14ac:dyDescent="0.25"/>
  <cols>
    <col min="1" max="1" width="15.875" customWidth="1"/>
    <col min="5" max="5" width="8" bestFit="1" customWidth="1"/>
    <col min="6" max="6" width="9.5" bestFit="1" customWidth="1"/>
    <col min="7" max="7" width="9.625" hidden="1" customWidth="1"/>
    <col min="8" max="8" width="8.125" hidden="1" customWidth="1"/>
    <col min="9" max="9" width="9.5" hidden="1" customWidth="1"/>
    <col min="10" max="10" width="8" hidden="1" customWidth="1"/>
    <col min="11" max="11" width="8.375" hidden="1" customWidth="1"/>
    <col min="12" max="12" width="9.5" hidden="1" customWidth="1"/>
    <col min="13" max="13" width="9.625" hidden="1" customWidth="1"/>
    <col min="14" max="14" width="9.375" hidden="1" customWidth="1"/>
    <col min="15" max="15" width="10.5" hidden="1" customWidth="1"/>
    <col min="16" max="16" width="9.125" hidden="1" customWidth="1"/>
    <col min="17" max="18" width="7.5" hidden="1" customWidth="1"/>
    <col min="19" max="19" width="9.5" hidden="1" customWidth="1"/>
    <col min="20" max="20" width="9.625" hidden="1" customWidth="1"/>
    <col min="21" max="21" width="0" hidden="1" customWidth="1"/>
    <col min="28" max="29" width="0" hidden="1" customWidth="1"/>
    <col min="31" max="35" width="0" hidden="1" customWidth="1"/>
    <col min="39" max="39" width="7.625" bestFit="1" customWidth="1"/>
    <col min="40" max="40" width="7.625" hidden="1" customWidth="1"/>
    <col min="41" max="41" width="7.625" bestFit="1" customWidth="1"/>
    <col min="42" max="42" width="7.625" hidden="1" customWidth="1"/>
    <col min="43" max="43" width="7.375" hidden="1" customWidth="1"/>
    <col min="44" max="44" width="8.875" hidden="1" customWidth="1"/>
    <col min="45" max="45" width="9.375" hidden="1" customWidth="1"/>
    <col min="46" max="46" width="7.625" hidden="1" customWidth="1"/>
    <col min="47" max="47" width="14" customWidth="1"/>
    <col min="48" max="48" width="11.125" customWidth="1"/>
  </cols>
  <sheetData>
    <row r="1" spans="1:48" ht="26.25" x14ac:dyDescent="0.4">
      <c r="A1" s="79" t="s">
        <v>149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8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U1" s="30"/>
      <c r="AV1" s="30"/>
    </row>
    <row r="2" spans="1:48" ht="23.25" x14ac:dyDescent="0.25">
      <c r="A2" s="49" t="s">
        <v>143</v>
      </c>
      <c r="B2" s="81" t="s">
        <v>154</v>
      </c>
      <c r="C2" s="81"/>
      <c r="D2" s="46"/>
      <c r="E2" s="46"/>
      <c r="F2" s="46"/>
      <c r="G2" s="30"/>
      <c r="H2" s="30"/>
      <c r="I2" s="30"/>
      <c r="J2" s="30" t="s">
        <v>155</v>
      </c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82" t="s">
        <v>145</v>
      </c>
      <c r="X2" s="82"/>
      <c r="Y2" s="82"/>
      <c r="Z2" s="73">
        <v>42638</v>
      </c>
      <c r="AA2" s="74"/>
      <c r="AB2" s="75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U2" s="30"/>
      <c r="AV2" s="30"/>
    </row>
    <row r="3" spans="1:48" ht="24" thickBot="1" x14ac:dyDescent="0.3">
      <c r="A3" s="50" t="s">
        <v>144</v>
      </c>
      <c r="B3" s="83" t="s">
        <v>155</v>
      </c>
      <c r="C3" s="84"/>
      <c r="D3" s="51"/>
      <c r="E3" s="51"/>
      <c r="F3" s="51"/>
      <c r="G3" s="45"/>
      <c r="H3" s="45"/>
      <c r="I3" s="45"/>
      <c r="J3" s="45" t="s">
        <v>156</v>
      </c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85" t="s">
        <v>146</v>
      </c>
      <c r="X3" s="85"/>
      <c r="Y3" s="85"/>
      <c r="Z3" s="76">
        <v>39002</v>
      </c>
      <c r="AA3" s="77"/>
      <c r="AB3" s="78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U3" s="30"/>
      <c r="AV3" s="30"/>
    </row>
    <row r="4" spans="1:48" ht="115.5" customHeight="1" x14ac:dyDescent="0.25">
      <c r="A4" s="47" t="s">
        <v>0</v>
      </c>
      <c r="B4" s="47" t="s">
        <v>1</v>
      </c>
      <c r="C4" s="47" t="s">
        <v>2</v>
      </c>
      <c r="D4" s="47" t="s">
        <v>3</v>
      </c>
      <c r="E4" s="47" t="s">
        <v>4</v>
      </c>
      <c r="F4" s="47" t="s">
        <v>5</v>
      </c>
      <c r="G4" s="47" t="s">
        <v>12</v>
      </c>
      <c r="H4" s="47" t="s">
        <v>6</v>
      </c>
      <c r="I4" s="47" t="s">
        <v>7</v>
      </c>
      <c r="J4" s="47" t="s">
        <v>8</v>
      </c>
      <c r="K4" s="47" t="s">
        <v>9</v>
      </c>
      <c r="L4" s="47" t="s">
        <v>10</v>
      </c>
      <c r="M4" s="47" t="s">
        <v>11</v>
      </c>
      <c r="N4" s="47" t="s">
        <v>13</v>
      </c>
      <c r="O4" s="47" t="s">
        <v>14</v>
      </c>
      <c r="P4" s="47" t="s">
        <v>15</v>
      </c>
      <c r="Q4" s="47" t="s">
        <v>16</v>
      </c>
      <c r="R4" s="47" t="s">
        <v>17</v>
      </c>
      <c r="S4" s="47" t="s">
        <v>18</v>
      </c>
      <c r="T4" s="47" t="s">
        <v>19</v>
      </c>
      <c r="U4" s="47" t="s">
        <v>20</v>
      </c>
      <c r="V4" s="47" t="s">
        <v>21</v>
      </c>
      <c r="W4" s="47" t="s">
        <v>27</v>
      </c>
      <c r="X4" s="47" t="s">
        <v>28</v>
      </c>
      <c r="Y4" s="47" t="s">
        <v>29</v>
      </c>
      <c r="Z4" s="47" t="s">
        <v>30</v>
      </c>
      <c r="AA4" s="47" t="s">
        <v>31</v>
      </c>
      <c r="AB4" s="47" t="s">
        <v>32</v>
      </c>
      <c r="AC4" s="32" t="s">
        <v>33</v>
      </c>
      <c r="AD4" s="32" t="s">
        <v>34</v>
      </c>
      <c r="AE4" s="32" t="s">
        <v>35</v>
      </c>
      <c r="AF4" s="32" t="s">
        <v>36</v>
      </c>
      <c r="AG4" s="32" t="s">
        <v>37</v>
      </c>
      <c r="AH4" s="32" t="s">
        <v>38</v>
      </c>
      <c r="AI4" s="32" t="s">
        <v>39</v>
      </c>
      <c r="AJ4" s="32" t="s">
        <v>40</v>
      </c>
      <c r="AK4" s="32" t="s">
        <v>41</v>
      </c>
      <c r="AL4" s="32" t="s">
        <v>42</v>
      </c>
      <c r="AM4" s="32" t="s">
        <v>43</v>
      </c>
      <c r="AN4" s="32" t="s">
        <v>44</v>
      </c>
      <c r="AO4" s="32" t="s">
        <v>45</v>
      </c>
      <c r="AP4" s="32" t="s">
        <v>46</v>
      </c>
      <c r="AQ4" s="32" t="s">
        <v>47</v>
      </c>
      <c r="AR4" s="32" t="s">
        <v>48</v>
      </c>
      <c r="AS4" s="22" t="s">
        <v>49</v>
      </c>
      <c r="AT4" s="27" t="s">
        <v>137</v>
      </c>
      <c r="AU4" s="32" t="s">
        <v>150</v>
      </c>
      <c r="AV4" s="32" t="s">
        <v>152</v>
      </c>
    </row>
    <row r="5" spans="1:48" x14ac:dyDescent="0.25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U5" s="30"/>
      <c r="AV5" s="30"/>
    </row>
    <row r="6" spans="1:48" x14ac:dyDescent="0.25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U6" s="30"/>
      <c r="AV6" s="30"/>
    </row>
    <row r="7" spans="1:48" x14ac:dyDescent="0.25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U7" s="30"/>
      <c r="AV7" s="30"/>
    </row>
    <row r="8" spans="1:48" x14ac:dyDescent="0.2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U8" s="30"/>
      <c r="AV8" s="30"/>
    </row>
    <row r="9" spans="1:48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U9" s="30"/>
      <c r="AV9" s="30"/>
    </row>
    <row r="10" spans="1:48" x14ac:dyDescent="0.2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U10" s="30"/>
      <c r="AV10" s="30"/>
    </row>
    <row r="11" spans="1:48" x14ac:dyDescent="0.2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U11" s="30"/>
      <c r="AV11" s="30"/>
    </row>
    <row r="12" spans="1:48" x14ac:dyDescent="0.2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U12" s="30"/>
      <c r="AV12" s="30"/>
    </row>
    <row r="13" spans="1:48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U13" s="30"/>
      <c r="AV13" s="30"/>
    </row>
    <row r="14" spans="1:48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U14" s="30"/>
      <c r="AV14" s="30"/>
    </row>
    <row r="15" spans="1:48" x14ac:dyDescent="0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U15" s="30"/>
      <c r="AV15" s="30"/>
    </row>
    <row r="16" spans="1:48" x14ac:dyDescent="0.2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U16" s="30"/>
      <c r="AV16" s="30"/>
    </row>
    <row r="17" spans="1:48" x14ac:dyDescent="0.2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U17" s="30"/>
      <c r="AV17" s="30"/>
    </row>
    <row r="18" spans="1:48" x14ac:dyDescent="0.2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U18" s="30"/>
      <c r="AV18" s="30"/>
    </row>
    <row r="19" spans="1:48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U19" s="30"/>
      <c r="AV19" s="30"/>
    </row>
    <row r="20" spans="1:48" x14ac:dyDescent="0.2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U20" s="30"/>
      <c r="AV20" s="30"/>
    </row>
    <row r="21" spans="1:48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U21" s="30"/>
      <c r="AV21" s="30"/>
    </row>
    <row r="22" spans="1:48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U22" s="30"/>
      <c r="AV22" s="30"/>
    </row>
    <row r="23" spans="1:48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U23" s="30"/>
      <c r="AV23" s="30"/>
    </row>
  </sheetData>
  <mergeCells count="7">
    <mergeCell ref="Z2:AB2"/>
    <mergeCell ref="Z3:AB3"/>
    <mergeCell ref="A1:L1"/>
    <mergeCell ref="B2:C2"/>
    <mergeCell ref="W2:Y2"/>
    <mergeCell ref="B3:C3"/>
    <mergeCell ref="W3:Y3"/>
  </mergeCells>
  <phoneticPr fontId="10" type="noConversion"/>
  <pageMargins left="0.25" right="0.25" top="0.75" bottom="0.75" header="0.3" footer="0.3"/>
  <pageSetup scale="70" orientation="landscape" copies="2" r:id="rId1"/>
  <headerFooter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odCrown_Button1_Click">
                <anchor moveWithCells="1" sizeWithCells="1">
                  <from>
                    <xdr:col>6</xdr:col>
                    <xdr:colOff>0</xdr:colOff>
                    <xdr:row>0</xdr:row>
                    <xdr:rowOff>219075</xdr:rowOff>
                  </from>
                  <to>
                    <xdr:col>6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odCrown_Button1_Click">
                <anchor moveWithCells="1" sizeWithCells="1">
                  <from>
                    <xdr:col>3</xdr:col>
                    <xdr:colOff>66675</xdr:colOff>
                    <xdr:row>1</xdr:row>
                    <xdr:rowOff>47625</xdr:rowOff>
                  </from>
                  <to>
                    <xdr:col>5</xdr:col>
                    <xdr:colOff>552450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37"/>
  <sheetViews>
    <sheetView zoomScale="85" zoomScaleNormal="85" zoomScalePageLayoutView="85" workbookViewId="0">
      <selection activeCell="M6" sqref="M6"/>
    </sheetView>
  </sheetViews>
  <sheetFormatPr defaultColWidth="8.875" defaultRowHeight="15.75" x14ac:dyDescent="0.25"/>
  <cols>
    <col min="2" max="2" width="15" bestFit="1" customWidth="1"/>
    <col min="20" max="20" width="20.125" bestFit="1" customWidth="1"/>
    <col min="21" max="21" width="31.875" bestFit="1" customWidth="1"/>
  </cols>
  <sheetData>
    <row r="1" spans="1:21" ht="96" customHeight="1" thickBot="1" x14ac:dyDescent="0.3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>
        <v>48</v>
      </c>
      <c r="I1">
        <v>4</v>
      </c>
      <c r="J1" t="s">
        <v>59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 t="s">
        <v>114</v>
      </c>
      <c r="R1" t="s">
        <v>117</v>
      </c>
      <c r="S1">
        <v>0</v>
      </c>
      <c r="T1" s="19" t="s">
        <v>50</v>
      </c>
      <c r="U1" s="20" t="s">
        <v>51</v>
      </c>
    </row>
    <row r="2" spans="1:21" ht="16.5" thickBot="1" x14ac:dyDescent="0.3">
      <c r="A2" t="s">
        <v>60</v>
      </c>
      <c r="B2" t="s">
        <v>61</v>
      </c>
      <c r="C2" t="s">
        <v>62</v>
      </c>
      <c r="D2" t="s">
        <v>63</v>
      </c>
      <c r="E2" t="s">
        <v>64</v>
      </c>
      <c r="F2" t="s">
        <v>65</v>
      </c>
      <c r="G2" t="s">
        <v>66</v>
      </c>
      <c r="H2">
        <v>54</v>
      </c>
      <c r="I2">
        <v>5</v>
      </c>
      <c r="J2" t="s">
        <v>67</v>
      </c>
      <c r="K2">
        <v>1.5</v>
      </c>
      <c r="L2">
        <v>1.5</v>
      </c>
      <c r="M2">
        <v>1.5</v>
      </c>
      <c r="N2">
        <v>1.5</v>
      </c>
      <c r="O2">
        <v>1.5</v>
      </c>
      <c r="P2">
        <v>2</v>
      </c>
      <c r="Q2" t="s">
        <v>115</v>
      </c>
      <c r="R2" t="s">
        <v>118</v>
      </c>
      <c r="S2">
        <v>1</v>
      </c>
      <c r="T2" s="5">
        <v>0</v>
      </c>
      <c r="U2" s="6">
        <v>0</v>
      </c>
    </row>
    <row r="3" spans="1:21" ht="16.5" thickBot="1" x14ac:dyDescent="0.3">
      <c r="A3" t="s">
        <v>68</v>
      </c>
      <c r="B3" t="s">
        <v>69</v>
      </c>
      <c r="D3" t="s">
        <v>151</v>
      </c>
      <c r="E3" t="s">
        <v>71</v>
      </c>
      <c r="F3" t="s">
        <v>72</v>
      </c>
      <c r="G3" t="s">
        <v>73</v>
      </c>
      <c r="H3">
        <v>55</v>
      </c>
      <c r="I3">
        <v>6</v>
      </c>
      <c r="J3" t="s">
        <v>74</v>
      </c>
      <c r="K3">
        <v>2</v>
      </c>
      <c r="L3">
        <v>2</v>
      </c>
      <c r="M3">
        <v>2</v>
      </c>
      <c r="N3">
        <v>2</v>
      </c>
      <c r="O3">
        <v>2</v>
      </c>
      <c r="P3">
        <v>3</v>
      </c>
      <c r="Q3" t="s">
        <v>116</v>
      </c>
      <c r="R3" t="s">
        <v>151</v>
      </c>
      <c r="S3">
        <v>2</v>
      </c>
      <c r="T3" s="5">
        <v>0</v>
      </c>
      <c r="U3" s="6">
        <v>0</v>
      </c>
    </row>
    <row r="4" spans="1:21" ht="16.5" thickBot="1" x14ac:dyDescent="0.3">
      <c r="A4" t="s">
        <v>75</v>
      </c>
      <c r="B4" t="s">
        <v>76</v>
      </c>
      <c r="E4" t="s">
        <v>77</v>
      </c>
      <c r="F4" t="s">
        <v>78</v>
      </c>
      <c r="H4">
        <v>56</v>
      </c>
      <c r="I4">
        <v>7</v>
      </c>
      <c r="K4">
        <v>2.5</v>
      </c>
      <c r="L4">
        <v>2.5</v>
      </c>
      <c r="M4">
        <v>2.5</v>
      </c>
      <c r="N4">
        <v>2.5</v>
      </c>
      <c r="O4">
        <v>2.5</v>
      </c>
      <c r="P4">
        <v>4</v>
      </c>
      <c r="S4">
        <v>3</v>
      </c>
      <c r="T4" s="7">
        <v>0.28999999999999998</v>
      </c>
      <c r="U4" s="8">
        <v>0.5</v>
      </c>
    </row>
    <row r="5" spans="1:21" x14ac:dyDescent="0.25">
      <c r="A5" t="s">
        <v>79</v>
      </c>
      <c r="B5" t="s">
        <v>80</v>
      </c>
      <c r="F5" t="s">
        <v>81</v>
      </c>
      <c r="H5">
        <v>57</v>
      </c>
      <c r="I5">
        <v>8</v>
      </c>
      <c r="K5">
        <v>3</v>
      </c>
      <c r="L5">
        <v>3</v>
      </c>
      <c r="M5">
        <v>3</v>
      </c>
      <c r="N5">
        <v>3</v>
      </c>
      <c r="O5">
        <v>3</v>
      </c>
      <c r="P5">
        <v>5</v>
      </c>
      <c r="S5">
        <v>4</v>
      </c>
    </row>
    <row r="6" spans="1:21" x14ac:dyDescent="0.25">
      <c r="A6" t="s">
        <v>77</v>
      </c>
      <c r="B6" t="s">
        <v>88</v>
      </c>
      <c r="F6" t="s">
        <v>73</v>
      </c>
      <c r="H6">
        <v>58</v>
      </c>
      <c r="I6">
        <v>9</v>
      </c>
      <c r="K6">
        <v>3.5</v>
      </c>
      <c r="L6">
        <v>4</v>
      </c>
      <c r="M6">
        <v>3.5</v>
      </c>
      <c r="N6">
        <v>3.5</v>
      </c>
      <c r="O6">
        <v>3.5</v>
      </c>
      <c r="P6">
        <v>6</v>
      </c>
      <c r="S6">
        <v>5</v>
      </c>
    </row>
    <row r="7" spans="1:21" x14ac:dyDescent="0.25">
      <c r="B7" t="s">
        <v>82</v>
      </c>
      <c r="F7" t="s">
        <v>84</v>
      </c>
      <c r="H7">
        <v>59</v>
      </c>
      <c r="I7">
        <v>10</v>
      </c>
      <c r="K7">
        <v>4</v>
      </c>
      <c r="L7">
        <v>5</v>
      </c>
      <c r="N7">
        <v>4</v>
      </c>
      <c r="O7">
        <v>4</v>
      </c>
      <c r="P7">
        <v>7</v>
      </c>
      <c r="S7">
        <v>6</v>
      </c>
    </row>
    <row r="8" spans="1:21" x14ac:dyDescent="0.25">
      <c r="B8" t="s">
        <v>83</v>
      </c>
      <c r="H8">
        <v>60</v>
      </c>
      <c r="I8">
        <v>11</v>
      </c>
      <c r="K8">
        <v>4.5</v>
      </c>
      <c r="L8">
        <v>6</v>
      </c>
      <c r="N8">
        <v>4.5</v>
      </c>
      <c r="O8">
        <v>4.5</v>
      </c>
      <c r="P8">
        <v>8</v>
      </c>
      <c r="S8">
        <v>7</v>
      </c>
    </row>
    <row r="9" spans="1:21" x14ac:dyDescent="0.25">
      <c r="B9" t="s">
        <v>85</v>
      </c>
      <c r="H9">
        <v>108</v>
      </c>
      <c r="I9">
        <v>12</v>
      </c>
      <c r="K9">
        <v>5</v>
      </c>
      <c r="L9">
        <v>7</v>
      </c>
      <c r="N9">
        <v>5.5</v>
      </c>
      <c r="O9">
        <v>5.5</v>
      </c>
      <c r="P9">
        <v>9</v>
      </c>
      <c r="S9">
        <v>8</v>
      </c>
    </row>
    <row r="10" spans="1:21" x14ac:dyDescent="0.25">
      <c r="B10" t="s">
        <v>86</v>
      </c>
      <c r="H10">
        <v>118</v>
      </c>
      <c r="I10">
        <v>13</v>
      </c>
      <c r="K10">
        <v>5.5</v>
      </c>
      <c r="L10">
        <v>8</v>
      </c>
      <c r="P10">
        <v>10</v>
      </c>
      <c r="S10">
        <v>9</v>
      </c>
    </row>
    <row r="11" spans="1:21" x14ac:dyDescent="0.25">
      <c r="B11" t="s">
        <v>87</v>
      </c>
      <c r="H11">
        <v>120</v>
      </c>
      <c r="I11">
        <v>14</v>
      </c>
      <c r="L11">
        <v>9</v>
      </c>
      <c r="P11">
        <v>11</v>
      </c>
      <c r="S11">
        <v>10</v>
      </c>
    </row>
    <row r="12" spans="1:21" x14ac:dyDescent="0.25">
      <c r="I12">
        <v>15</v>
      </c>
      <c r="L12">
        <v>10</v>
      </c>
      <c r="P12">
        <v>12</v>
      </c>
      <c r="S12">
        <v>11</v>
      </c>
    </row>
    <row r="13" spans="1:21" x14ac:dyDescent="0.25">
      <c r="I13">
        <v>16</v>
      </c>
      <c r="P13">
        <v>13</v>
      </c>
      <c r="S13">
        <v>12</v>
      </c>
    </row>
    <row r="14" spans="1:21" x14ac:dyDescent="0.25">
      <c r="I14">
        <v>17</v>
      </c>
      <c r="P14">
        <v>14</v>
      </c>
      <c r="S14">
        <v>13</v>
      </c>
    </row>
    <row r="15" spans="1:21" x14ac:dyDescent="0.25">
      <c r="I15">
        <v>18</v>
      </c>
      <c r="P15">
        <v>15</v>
      </c>
      <c r="S15">
        <v>14</v>
      </c>
    </row>
    <row r="16" spans="1:21" x14ac:dyDescent="0.25">
      <c r="I16">
        <v>19</v>
      </c>
      <c r="P16">
        <v>16</v>
      </c>
      <c r="S16">
        <v>15</v>
      </c>
    </row>
    <row r="17" spans="9:19" x14ac:dyDescent="0.25">
      <c r="I17">
        <v>20</v>
      </c>
      <c r="P17">
        <v>17</v>
      </c>
      <c r="S17">
        <v>16</v>
      </c>
    </row>
    <row r="18" spans="9:19" x14ac:dyDescent="0.25">
      <c r="I18">
        <v>21</v>
      </c>
      <c r="P18">
        <v>18</v>
      </c>
      <c r="S18">
        <v>17</v>
      </c>
    </row>
    <row r="19" spans="9:19" x14ac:dyDescent="0.25">
      <c r="I19">
        <v>22</v>
      </c>
      <c r="P19">
        <v>19</v>
      </c>
      <c r="S19">
        <v>18</v>
      </c>
    </row>
    <row r="20" spans="9:19" x14ac:dyDescent="0.25">
      <c r="I20">
        <v>23</v>
      </c>
      <c r="P20">
        <v>20</v>
      </c>
      <c r="S20">
        <v>19</v>
      </c>
    </row>
    <row r="21" spans="9:19" x14ac:dyDescent="0.25">
      <c r="I21">
        <v>24</v>
      </c>
      <c r="P21">
        <v>21</v>
      </c>
      <c r="S21">
        <v>20</v>
      </c>
    </row>
    <row r="22" spans="9:19" x14ac:dyDescent="0.25">
      <c r="I22">
        <v>25</v>
      </c>
      <c r="P22">
        <v>22</v>
      </c>
      <c r="S22">
        <v>21</v>
      </c>
    </row>
    <row r="23" spans="9:19" x14ac:dyDescent="0.25">
      <c r="I23">
        <v>26</v>
      </c>
      <c r="P23">
        <v>23</v>
      </c>
      <c r="S23">
        <v>22</v>
      </c>
    </row>
    <row r="24" spans="9:19" x14ac:dyDescent="0.25">
      <c r="I24">
        <v>27</v>
      </c>
      <c r="P24">
        <v>24</v>
      </c>
      <c r="S24">
        <v>23</v>
      </c>
    </row>
    <row r="25" spans="9:19" x14ac:dyDescent="0.25">
      <c r="I25">
        <v>28</v>
      </c>
      <c r="P25">
        <v>25</v>
      </c>
      <c r="S25">
        <v>24</v>
      </c>
    </row>
    <row r="26" spans="9:19" x14ac:dyDescent="0.25">
      <c r="I26">
        <v>29</v>
      </c>
      <c r="P26">
        <v>26</v>
      </c>
      <c r="S26">
        <v>25</v>
      </c>
    </row>
    <row r="27" spans="9:19" x14ac:dyDescent="0.25">
      <c r="I27">
        <v>30</v>
      </c>
      <c r="S27">
        <v>26</v>
      </c>
    </row>
    <row r="28" spans="9:19" x14ac:dyDescent="0.25">
      <c r="I28">
        <v>31</v>
      </c>
      <c r="S28">
        <v>27</v>
      </c>
    </row>
    <row r="29" spans="9:19" x14ac:dyDescent="0.25">
      <c r="I29">
        <v>32</v>
      </c>
      <c r="S29">
        <v>28</v>
      </c>
    </row>
    <row r="30" spans="9:19" x14ac:dyDescent="0.25">
      <c r="I30">
        <v>33</v>
      </c>
      <c r="S30">
        <v>29</v>
      </c>
    </row>
    <row r="31" spans="9:19" x14ac:dyDescent="0.25">
      <c r="I31">
        <v>34</v>
      </c>
      <c r="S31">
        <v>30</v>
      </c>
    </row>
    <row r="32" spans="9:19" x14ac:dyDescent="0.25">
      <c r="I32">
        <v>35</v>
      </c>
      <c r="S32">
        <v>31</v>
      </c>
    </row>
    <row r="33" spans="9:19" x14ac:dyDescent="0.25">
      <c r="I33">
        <v>36</v>
      </c>
      <c r="S33">
        <v>32</v>
      </c>
    </row>
    <row r="34" spans="9:19" x14ac:dyDescent="0.25">
      <c r="S34">
        <v>33</v>
      </c>
    </row>
    <row r="35" spans="9:19" x14ac:dyDescent="0.25">
      <c r="S35">
        <v>34</v>
      </c>
    </row>
    <row r="36" spans="9:19" x14ac:dyDescent="0.25">
      <c r="S36">
        <v>35</v>
      </c>
    </row>
    <row r="37" spans="9:19" x14ac:dyDescent="0.25">
      <c r="S37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Main</vt:lpstr>
      <vt:lpstr>Rod,Crown</vt:lpstr>
      <vt:lpstr>Scroll</vt:lpstr>
      <vt:lpstr>Flat,Cubical,Grommet,Ripple</vt:lpstr>
      <vt:lpstr>French,2,3 Pleat</vt:lpstr>
      <vt:lpstr>ResourcesForm</vt:lpstr>
      <vt:lpstr>'French,2,3 Pleat'!Print_Area</vt:lpstr>
      <vt:lpstr>Scroll!Print_Area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</dc:creator>
  <cp:lastModifiedBy>Taha</cp:lastModifiedBy>
  <cp:lastPrinted>2016-09-27T00:29:20Z</cp:lastPrinted>
  <dcterms:created xsi:type="dcterms:W3CDTF">2015-11-03T17:49:43Z</dcterms:created>
  <dcterms:modified xsi:type="dcterms:W3CDTF">2016-10-17T13:47:25Z</dcterms:modified>
</cp:coreProperties>
</file>